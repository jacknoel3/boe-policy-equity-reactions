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jacknoel/Documents/Bachelors/Current/Research Project/"/>
    </mc:Choice>
  </mc:AlternateContent>
  <xr:revisionPtr revIDLastSave="0" documentId="13_ncr:1_{D4E1F1B7-2015-5D49-9FE7-8A1D28DA6991}" xr6:coauthVersionLast="47" xr6:coauthVersionMax="47" xr10:uidLastSave="{00000000-0000-0000-0000-000000000000}"/>
  <bookViews>
    <workbookView xWindow="0" yWindow="600" windowWidth="28680" windowHeight="15520" activeTab="2" xr2:uid="{00000000-000D-0000-FFFF-FFFF00000000}"/>
  </bookViews>
  <sheets>
    <sheet name="Cover" sheetId="1" r:id="rId1"/>
    <sheet name="readme" sheetId="2" r:id="rId2"/>
    <sheet name="summary of asset prices" sheetId="3" r:id="rId3"/>
    <sheet name="surprises" sheetId="4" r:id="rId4"/>
    <sheet name="factors" sheetId="5" r:id="rId5"/>
    <sheet name="Literature Review"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18" i="4" l="1"/>
  <c r="E418" i="4"/>
  <c r="F418" i="4"/>
  <c r="G418" i="4"/>
  <c r="H418" i="4"/>
  <c r="I418" i="4"/>
  <c r="J418" i="4"/>
  <c r="K418" i="4"/>
  <c r="L418" i="4"/>
  <c r="M418" i="4"/>
  <c r="N418" i="4"/>
  <c r="O418" i="4"/>
  <c r="P418" i="4"/>
  <c r="Q418" i="4"/>
  <c r="R418" i="4"/>
  <c r="S418" i="4"/>
  <c r="T418" i="4"/>
  <c r="U418" i="4"/>
  <c r="V418" i="4"/>
  <c r="W418" i="4"/>
  <c r="X418" i="4"/>
  <c r="Y418" i="4"/>
  <c r="Z418" i="4"/>
  <c r="D419" i="4"/>
  <c r="E419" i="4"/>
  <c r="F419" i="4"/>
  <c r="G419" i="4"/>
  <c r="H419" i="4"/>
  <c r="I419" i="4"/>
  <c r="J419" i="4"/>
  <c r="K419" i="4"/>
  <c r="L419" i="4"/>
  <c r="M419" i="4"/>
  <c r="N419" i="4"/>
  <c r="O419" i="4"/>
  <c r="P419" i="4"/>
  <c r="Q419" i="4"/>
  <c r="R419" i="4"/>
  <c r="S419" i="4"/>
  <c r="T419" i="4"/>
  <c r="U419" i="4"/>
  <c r="V419" i="4"/>
  <c r="W419" i="4"/>
  <c r="X419" i="4"/>
  <c r="Y419" i="4"/>
  <c r="Z419" i="4"/>
  <c r="D420" i="4"/>
  <c r="E420" i="4"/>
  <c r="F420" i="4"/>
  <c r="G420" i="4"/>
  <c r="H420" i="4"/>
  <c r="I420" i="4"/>
  <c r="J420" i="4"/>
  <c r="K420" i="4"/>
  <c r="L420" i="4"/>
  <c r="M420" i="4"/>
  <c r="N420" i="4"/>
  <c r="O420" i="4"/>
  <c r="P420" i="4"/>
  <c r="Q420" i="4"/>
  <c r="R420" i="4"/>
  <c r="S420" i="4"/>
  <c r="T420" i="4"/>
  <c r="U420" i="4"/>
  <c r="V420" i="4"/>
  <c r="W420" i="4"/>
  <c r="X420" i="4"/>
  <c r="Y420" i="4"/>
  <c r="Z420" i="4"/>
  <c r="C420" i="4"/>
  <c r="C419" i="4"/>
  <c r="C418" i="4"/>
  <c r="E421" i="5"/>
  <c r="D421" i="5"/>
  <c r="D419" i="5"/>
  <c r="E420" i="5"/>
  <c r="C420" i="5"/>
  <c r="C419" i="5"/>
  <c r="E418" i="5"/>
  <c r="D418" i="5"/>
  <c r="C418" i="5"/>
  <c r="D417" i="5"/>
  <c r="E417" i="5"/>
  <c r="C417" i="5"/>
</calcChain>
</file>

<file path=xl/sharedStrings.xml><?xml version="1.0" encoding="utf-8"?>
<sst xmlns="http://schemas.openxmlformats.org/spreadsheetml/2006/main" count="164" uniqueCount="113">
  <si>
    <t>Datetime</t>
  </si>
  <si>
    <t>isMPC</t>
  </si>
  <si>
    <t>Target</t>
  </si>
  <si>
    <t>Path</t>
  </si>
  <si>
    <t>QE</t>
  </si>
  <si>
    <t xml:space="preserve">This spreadsheet presents the UK Monetary Policy Event-Study Database (UKMPD) as outlined in Braun, Miranda-Agrippino and Saha. </t>
  </si>
  <si>
    <t xml:space="preserve">It captures high-frequency monetary policy surprises and monetary policy factors for the United Kingdom. Both the 'surprises' and 'factors' tab has an 'isMPC' identifier that takes the value TRUE for MPC announcements, and FALSE for press conferences. All datetimes are reported in GMT. </t>
  </si>
  <si>
    <t xml:space="preserve">The 'Summary of Asset Prices' tab provides a description of the various asset prices feeding into the dataset. </t>
  </si>
  <si>
    <t>If using the data, please cite as: Braun, Miranda-Agrippino and Saha, "Measuring Monetary Policy in the UK: the UK Monetary Policy Event-Study Database", Journal of Monetary Economics (2024)</t>
  </si>
  <si>
    <t>Underlying data source: LSEG (formerly Refinitiv) Tick History and author calculations.</t>
  </si>
  <si>
    <t>LSEG Tick History link</t>
  </si>
  <si>
    <t>Notes:</t>
  </si>
  <si>
    <t>10 July 2024: The database was revised for publication in the Journal of Monetary Economics. We now include two types of events: MPC announcements (which will capture Inflation Report (IR) / Monetary Policy Report (MPR) announcements in the post-2015 sample) and press conferences (which will capture IR/MPR announcements in the pre-2015 sample).</t>
  </si>
  <si>
    <t>8 February 2024: We have revised the dataset to remove 3 observations in 2020, for the May, August and November MPC announcements and MPR publications which occured at 7am local time. These had previously been recorded as a 12pm local time publication. As 7am falls outside of UK financial market trading hours, data is not available at that time. There are also underlying data availability issues for MPC events on 9th July 1998, 8th March 2001, 10th April 2003 and 11th March 2020, which result in missing observations on those dates. The dataset is currently being revised for publication and may evolve.</t>
  </si>
  <si>
    <t>Disclaimers</t>
  </si>
  <si>
    <t>All material included herein is intended for general informational purposes only. No user should act or refrain from acting on this information without first verifying the information and obtaining professional advice.</t>
  </si>
  <si>
    <t>The Bank of England does not accept any responsibility or liability for loss or damage, whether direct, indirect or consequential, resulting from the use of, or the inability to use, this information whether as a result of inaccuracies, defects, errors (typographical or otherwise), omissions, out of date information or otherwise, or from any reliance on information contained herein.</t>
  </si>
  <si>
    <t>The Bank of England makes no representations or warranties as to the accuracy or completeness of the information contained herein. Some data series may be subject to revisions.</t>
  </si>
  <si>
    <t>The user agrees that any such material downloaded is obtained entirely at the user's own risk and that the user will be entirely responsible for any resulting damage to software or computer systems and/or any resulting loss of data even if the Bank of England has been advised of the possibility of such damage</t>
  </si>
  <si>
    <t>Any dispute arising out of use of this information database or the Terms and Conditions found on the Bank of England’s website shall be governed by the laws of England and the user and the Bank submit to the exclusive jurisdiction of the English courts. The Bank’s omission to exercise any right under these Terms and Conditions shall not constitute a waiver of such right.</t>
  </si>
  <si>
    <t># RIC</t>
  </si>
  <si>
    <t>Description</t>
  </si>
  <si>
    <t>Availability</t>
  </si>
  <si>
    <t>Transformation</t>
  </si>
  <si>
    <t>Interest Rate Futures</t>
  </si>
  <si>
    <t>FSScm1</t>
  </si>
  <si>
    <t>3M Libor 1st quarterly contract</t>
  </si>
  <si>
    <t>1997 - 2021</t>
  </si>
  <si>
    <t>Yield (pp)</t>
  </si>
  <si>
    <t>FSScm2</t>
  </si>
  <si>
    <t>3M Libor 2nd quarterly contract</t>
  </si>
  <si>
    <t>FSScm3</t>
  </si>
  <si>
    <t>3M Libor 3rd quarterly contract</t>
  </si>
  <si>
    <t>FSScm4</t>
  </si>
  <si>
    <t>3M Libor 4th quarterly contract</t>
  </si>
  <si>
    <t>Son3c1</t>
  </si>
  <si>
    <t>3M Sonia 1st quarterly contract</t>
  </si>
  <si>
    <t>Since 2021</t>
  </si>
  <si>
    <t>Son3c2</t>
  </si>
  <si>
    <t>3M Sonia 2nd quarterly contract</t>
  </si>
  <si>
    <t>Son3c3</t>
  </si>
  <si>
    <t>3M Sonia 3rd quarterly contract</t>
  </si>
  <si>
    <t>Son3c4</t>
  </si>
  <si>
    <t>3M Sonia 4th quarterly contract</t>
  </si>
  <si>
    <t>Gilt Yields</t>
  </si>
  <si>
    <t>GBP1YT=RR</t>
  </si>
  <si>
    <t>1 Year Reference Bond</t>
  </si>
  <si>
    <t>Since 1997</t>
  </si>
  <si>
    <t>GBP2YT=RR</t>
  </si>
  <si>
    <t>2 Year Reference Bond</t>
  </si>
  <si>
    <t>GBP5YT=RR</t>
  </si>
  <si>
    <t>5 Year Reference Bond</t>
  </si>
  <si>
    <t>GBP10YT=RR</t>
  </si>
  <si>
    <t>10 Year Reference Bond</t>
  </si>
  <si>
    <t>Overnight Indexed Swaps</t>
  </si>
  <si>
    <t>GBP1MOIS=RR</t>
  </si>
  <si>
    <t xml:space="preserve"> 1 Month OIS rate</t>
  </si>
  <si>
    <t>Since 2009</t>
  </si>
  <si>
    <t>GBP2MOIS=RR</t>
  </si>
  <si>
    <t>2 Month OIS rate</t>
  </si>
  <si>
    <t>GBP3MOIS=RR</t>
  </si>
  <si>
    <t>3 Month OIS rate</t>
  </si>
  <si>
    <t>GBP1YOIS=RR</t>
  </si>
  <si>
    <t>1 Year OIS rate</t>
  </si>
  <si>
    <t>GBP2YOIS=RR</t>
  </si>
  <si>
    <t>2 Year OIS rate</t>
  </si>
  <si>
    <t>GBP3YOIS=RR</t>
  </si>
  <si>
    <t>3 Year OIS rate</t>
  </si>
  <si>
    <t>Since 2015</t>
  </si>
  <si>
    <t>Exchange Rates and Stock Market Indexes</t>
  </si>
  <si>
    <t>FFIc1</t>
  </si>
  <si>
    <t>FTSE100 future first month contract</t>
  </si>
  <si>
    <t>100 × ln</t>
  </si>
  <si>
    <t>.FTSE</t>
  </si>
  <si>
    <t>FTSE 100 Index</t>
  </si>
  <si>
    <t>.FTMC</t>
  </si>
  <si>
    <t>FTSE 250 Index</t>
  </si>
  <si>
    <t>.FTAS</t>
  </si>
  <si>
    <t>FTSE All Share Index</t>
  </si>
  <si>
    <t>EURGBP=</t>
  </si>
  <si>
    <t>EUR/GBP exchange rate</t>
  </si>
  <si>
    <t>Since 1998</t>
  </si>
  <si>
    <t xml:space="preserve">GBP= </t>
  </si>
  <si>
    <t>GBP/USD exchange rate</t>
  </si>
  <si>
    <t>GB10YT=RR</t>
  </si>
  <si>
    <t>GB1YT=RR</t>
  </si>
  <si>
    <t>GB2YT=RR</t>
  </si>
  <si>
    <t>GB5YT=RR</t>
  </si>
  <si>
    <t>GBP1MOIS=</t>
  </si>
  <si>
    <t>GBP1YOIS=</t>
  </si>
  <si>
    <t>GBP2MOIS=</t>
  </si>
  <si>
    <t>GBP2YOIS=</t>
  </si>
  <si>
    <t>GBP3MOIS=</t>
  </si>
  <si>
    <t>GBP3YOIS=</t>
  </si>
  <si>
    <t>GBP=</t>
  </si>
  <si>
    <t>SON3c1</t>
  </si>
  <si>
    <t>SON3c2</t>
  </si>
  <si>
    <t>SON3c3</t>
  </si>
  <si>
    <t>SON3c4</t>
  </si>
  <si>
    <t>std.dev.</t>
  </si>
  <si>
    <t>mean</t>
  </si>
  <si>
    <t>corr(T,P)</t>
  </si>
  <si>
    <t>corr(T,QE)</t>
  </si>
  <si>
    <t>corr(P,QE)</t>
  </si>
  <si>
    <t>Paper</t>
  </si>
  <si>
    <t>Topic</t>
  </si>
  <si>
    <t>Main Result</t>
  </si>
  <si>
    <t>Method</t>
  </si>
  <si>
    <t>Useful for</t>
  </si>
  <si>
    <t>Antulio N. Bomfim</t>
  </si>
  <si>
    <t>corr with path</t>
  </si>
  <si>
    <t>corr with target</t>
  </si>
  <si>
    <t>corr with QE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</si>
</sst>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0.0000"/>
  </numFmts>
  <fonts count="14" x14ac:knownFonts="1">
    <font>
      <sz val="11"/>
      <color theme="1"/>
      <name val="Calibri"/>
      <family val="2"/>
      <scheme val="minor"/>
    </font>
    <font>
      <b/>
      <sz val="11"/>
      <name val="Calibri"/>
      <family val="2"/>
    </font>
    <font>
      <b/>
      <sz val="11"/>
      <color theme="1"/>
      <name val="Calibri"/>
      <family val="2"/>
      <scheme val="minor"/>
    </font>
    <font>
      <sz val="11"/>
      <name val="Calibri"/>
      <family val="2"/>
    </font>
    <font>
      <sz val="11"/>
      <color rgb="FF000000"/>
      <name val="Calibri"/>
      <family val="2"/>
      <scheme val="minor"/>
    </font>
    <font>
      <b/>
      <sz val="11"/>
      <color rgb="FF000000"/>
      <name val="Calibri"/>
      <family val="2"/>
      <scheme val="minor"/>
    </font>
    <font>
      <u/>
      <sz val="11"/>
      <color rgb="FF000000"/>
      <name val="Calibri"/>
      <family val="2"/>
      <scheme val="minor"/>
    </font>
    <font>
      <i/>
      <sz val="11"/>
      <color rgb="FF000000"/>
      <name val="Calibri"/>
      <family val="2"/>
      <scheme val="minor"/>
    </font>
    <font>
      <b/>
      <sz val="11"/>
      <name val="Calibri"/>
      <family val="2"/>
    </font>
    <font>
      <u/>
      <sz val="11"/>
      <color theme="10"/>
      <name val="Calibri"/>
      <family val="2"/>
      <scheme val="minor"/>
    </font>
    <font>
      <sz val="11"/>
      <name val="Calibri"/>
      <family val="2"/>
    </font>
    <font>
      <sz val="11"/>
      <name val="Calibri"/>
      <family val="2"/>
      <scheme val="minor"/>
    </font>
    <font>
      <sz val="10"/>
      <name val="Arial"/>
      <family val="2"/>
    </font>
    <font>
      <b/>
      <sz val="11"/>
      <name val="Calibri"/>
      <family val="2"/>
    </font>
  </fonts>
  <fills count="3">
    <fill>
      <patternFill patternType="none"/>
    </fill>
    <fill>
      <patternFill patternType="gray125"/>
    </fill>
    <fill>
      <patternFill patternType="solid">
        <fgColor theme="0"/>
        <bgColor indexed="64"/>
      </patternFill>
    </fill>
  </fills>
  <borders count="7">
    <border>
      <left/>
      <right/>
      <top/>
      <bottom/>
      <diagonal/>
    </border>
    <border>
      <left style="thin">
        <color auto="1"/>
      </left>
      <right style="thin">
        <color auto="1"/>
      </right>
      <top style="thin">
        <color auto="1"/>
      </top>
      <bottom style="thin">
        <color auto="1"/>
      </bottom>
      <diagonal/>
    </border>
    <border>
      <left/>
      <right/>
      <top/>
      <bottom/>
      <diagonal/>
    </border>
    <border>
      <left style="thin">
        <color auto="1"/>
      </left>
      <right style="thin">
        <color auto="1"/>
      </right>
      <top style="thin">
        <color auto="1"/>
      </top>
      <bottom style="thin">
        <color auto="1"/>
      </bottom>
      <diagonal/>
    </border>
    <border>
      <left/>
      <right/>
      <top/>
      <bottom/>
      <diagonal/>
    </border>
    <border>
      <left style="thin">
        <color auto="1"/>
      </left>
      <right style="thin">
        <color auto="1"/>
      </right>
      <top style="thin">
        <color auto="1"/>
      </top>
      <bottom style="thin">
        <color auto="1"/>
      </bottom>
      <diagonal/>
    </border>
    <border>
      <left/>
      <right/>
      <top/>
      <bottom/>
      <diagonal/>
    </border>
  </borders>
  <cellStyleXfs count="4">
    <xf numFmtId="0" fontId="0" fillId="0" borderId="4"/>
    <xf numFmtId="0" fontId="3" fillId="0" borderId="4"/>
    <xf numFmtId="0" fontId="9" fillId="0" borderId="4"/>
    <xf numFmtId="0" fontId="12" fillId="0" borderId="4"/>
  </cellStyleXfs>
  <cellXfs count="30">
    <xf numFmtId="0" fontId="0" fillId="0" borderId="0" xfId="0" applyBorder="1"/>
    <xf numFmtId="0" fontId="1" fillId="0" borderId="1" xfId="0" applyFont="1" applyBorder="1" applyAlignment="1">
      <alignment horizontal="center" vertical="top"/>
    </xf>
    <xf numFmtId="0" fontId="2" fillId="0" borderId="2" xfId="1" applyFont="1" applyBorder="1"/>
    <xf numFmtId="0" fontId="3" fillId="0" borderId="2" xfId="1" quotePrefix="1" applyBorder="1"/>
    <xf numFmtId="0" fontId="4" fillId="0" borderId="0" xfId="0" applyFont="1" applyBorder="1"/>
    <xf numFmtId="0" fontId="4" fillId="0" borderId="2" xfId="0" applyFont="1" applyBorder="1"/>
    <xf numFmtId="0" fontId="5" fillId="0" borderId="2" xfId="0" applyFont="1" applyBorder="1" applyAlignment="1">
      <alignment horizontal="left" wrapText="1"/>
    </xf>
    <xf numFmtId="0" fontId="8" fillId="0" borderId="3" xfId="0" applyFont="1" applyBorder="1" applyAlignment="1">
      <alignment horizontal="center" vertical="top"/>
    </xf>
    <xf numFmtId="0" fontId="9" fillId="0" borderId="2" xfId="2" applyBorder="1"/>
    <xf numFmtId="0" fontId="5" fillId="0" borderId="0" xfId="0" applyFont="1" applyBorder="1"/>
    <xf numFmtId="0" fontId="10" fillId="0" borderId="2" xfId="1" applyFont="1" applyBorder="1"/>
    <xf numFmtId="0" fontId="3" fillId="0" borderId="2" xfId="1" applyBorder="1"/>
    <xf numFmtId="0" fontId="3" fillId="0" borderId="2" xfId="1" applyBorder="1" applyAlignment="1">
      <alignment wrapText="1"/>
    </xf>
    <xf numFmtId="0" fontId="12" fillId="2" borderId="4" xfId="3" applyFill="1"/>
    <xf numFmtId="0" fontId="13" fillId="0" borderId="5" xfId="0" applyFont="1" applyBorder="1" applyAlignment="1">
      <alignment horizontal="center" vertical="top"/>
    </xf>
    <xf numFmtId="164" fontId="13" fillId="0" borderId="5" xfId="0" applyNumberFormat="1" applyFont="1" applyBorder="1" applyAlignment="1">
      <alignment horizontal="center" vertical="top"/>
    </xf>
    <xf numFmtId="22" fontId="0" fillId="0" borderId="6" xfId="0" applyNumberFormat="1" applyBorder="1"/>
    <xf numFmtId="165" fontId="0" fillId="0" borderId="0" xfId="0" applyNumberFormat="1" applyBorder="1"/>
    <xf numFmtId="0" fontId="11" fillId="0" borderId="0" xfId="0" applyFont="1" applyBorder="1"/>
    <xf numFmtId="0" fontId="5" fillId="0" borderId="4" xfId="0" applyFont="1"/>
    <xf numFmtId="0" fontId="3" fillId="0" borderId="2" xfId="1" applyBorder="1"/>
    <xf numFmtId="0" fontId="7" fillId="0" borderId="4" xfId="0" applyFont="1" applyAlignment="1">
      <alignment wrapText="1"/>
    </xf>
    <xf numFmtId="0" fontId="6" fillId="0" borderId="4" xfId="0" applyFont="1" applyAlignment="1">
      <alignment horizontal="left" wrapText="1"/>
    </xf>
    <xf numFmtId="0" fontId="11" fillId="0" borderId="4" xfId="0" applyFont="1"/>
    <xf numFmtId="0" fontId="7" fillId="0" borderId="4" xfId="0" applyFont="1" applyAlignment="1">
      <alignment horizontal="left" wrapText="1"/>
    </xf>
    <xf numFmtId="0" fontId="4" fillId="0" borderId="4" xfId="0" applyFont="1" applyAlignment="1">
      <alignment wrapText="1"/>
    </xf>
    <xf numFmtId="0" fontId="3" fillId="0" borderId="2" xfId="1" applyBorder="1" applyAlignment="1">
      <alignment wrapText="1"/>
    </xf>
    <xf numFmtId="0" fontId="4" fillId="0" borderId="4" xfId="0" applyFont="1" applyAlignment="1">
      <alignment horizontal="left" wrapText="1"/>
    </xf>
    <xf numFmtId="0" fontId="11" fillId="0" borderId="4" xfId="0" applyFont="1" applyAlignment="1">
      <alignment wrapText="1"/>
    </xf>
    <xf numFmtId="0" fontId="2" fillId="0" borderId="4" xfId="1" applyFont="1" applyAlignment="1">
      <alignment horizontal="center"/>
    </xf>
  </cellXfs>
  <cellStyles count="4">
    <cellStyle name="Hyperlink" xfId="2" builtinId="8"/>
    <cellStyle name="Normal" xfId="0" builtinId="0"/>
    <cellStyle name="Normal 2" xfId="1" xr:uid="{00000000-0005-0000-0000-000001000000}"/>
    <cellStyle name="Normal 4"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factors!$C$1</c:f>
              <c:strCache>
                <c:ptCount val="1"/>
                <c:pt idx="0">
                  <c:v>Target</c:v>
                </c:pt>
              </c:strCache>
            </c:strRef>
          </c:tx>
          <c:spPr>
            <a:ln w="25400" cap="rnd">
              <a:solidFill>
                <a:schemeClr val="accent1"/>
              </a:solidFill>
              <a:round/>
            </a:ln>
            <a:effectLst/>
          </c:spPr>
          <c:marker>
            <c:symbol val="none"/>
          </c:marker>
          <c:cat>
            <c:numRef>
              <c:f>factors!$A$2:$A$416</c:f>
              <c:numCache>
                <c:formatCode>m/d/yy\ h:mm</c:formatCode>
                <c:ptCount val="415"/>
                <c:pt idx="0">
                  <c:v>35587.458333333336</c:v>
                </c:pt>
                <c:pt idx="1">
                  <c:v>35621.458333333336</c:v>
                </c:pt>
                <c:pt idx="2">
                  <c:v>35649.458333333336</c:v>
                </c:pt>
                <c:pt idx="3">
                  <c:v>35655.395833333336</c:v>
                </c:pt>
                <c:pt idx="4">
                  <c:v>35684.458333333336</c:v>
                </c:pt>
                <c:pt idx="5">
                  <c:v>35712.458333333336</c:v>
                </c:pt>
                <c:pt idx="6">
                  <c:v>35740.5</c:v>
                </c:pt>
                <c:pt idx="7">
                  <c:v>35746.4375</c:v>
                </c:pt>
                <c:pt idx="8">
                  <c:v>35768.5</c:v>
                </c:pt>
                <c:pt idx="9">
                  <c:v>35803.5</c:v>
                </c:pt>
                <c:pt idx="10">
                  <c:v>35831.5</c:v>
                </c:pt>
                <c:pt idx="11">
                  <c:v>35837.4375</c:v>
                </c:pt>
                <c:pt idx="12">
                  <c:v>35859.5</c:v>
                </c:pt>
                <c:pt idx="13">
                  <c:v>35894.458333333336</c:v>
                </c:pt>
                <c:pt idx="14">
                  <c:v>35922.458333333336</c:v>
                </c:pt>
                <c:pt idx="15">
                  <c:v>35928.395833333336</c:v>
                </c:pt>
                <c:pt idx="16">
                  <c:v>35950.458333333336</c:v>
                </c:pt>
                <c:pt idx="17">
                  <c:v>36013.458333333336</c:v>
                </c:pt>
                <c:pt idx="18">
                  <c:v>36020.395833333336</c:v>
                </c:pt>
                <c:pt idx="19">
                  <c:v>36048.458333333336</c:v>
                </c:pt>
                <c:pt idx="20">
                  <c:v>36076.458333333336</c:v>
                </c:pt>
                <c:pt idx="21">
                  <c:v>36104.5</c:v>
                </c:pt>
                <c:pt idx="22">
                  <c:v>36110.4375</c:v>
                </c:pt>
                <c:pt idx="23">
                  <c:v>36139.5</c:v>
                </c:pt>
                <c:pt idx="24">
                  <c:v>36167.5</c:v>
                </c:pt>
                <c:pt idx="25">
                  <c:v>36195.5</c:v>
                </c:pt>
                <c:pt idx="26">
                  <c:v>36201.4375</c:v>
                </c:pt>
                <c:pt idx="27">
                  <c:v>36222.5</c:v>
                </c:pt>
                <c:pt idx="28">
                  <c:v>36258.458333333336</c:v>
                </c:pt>
                <c:pt idx="29">
                  <c:v>36286.458333333336</c:v>
                </c:pt>
                <c:pt idx="30">
                  <c:v>36292.395833333336</c:v>
                </c:pt>
                <c:pt idx="31">
                  <c:v>36321.458333333336</c:v>
                </c:pt>
                <c:pt idx="32">
                  <c:v>36349.458333333336</c:v>
                </c:pt>
                <c:pt idx="33">
                  <c:v>36377.458333333336</c:v>
                </c:pt>
                <c:pt idx="34">
                  <c:v>36383.395833333336</c:v>
                </c:pt>
                <c:pt idx="35">
                  <c:v>36411.458333333336</c:v>
                </c:pt>
                <c:pt idx="36">
                  <c:v>36440.458333333336</c:v>
                </c:pt>
                <c:pt idx="37">
                  <c:v>36468.5</c:v>
                </c:pt>
                <c:pt idx="38">
                  <c:v>36474.4375</c:v>
                </c:pt>
                <c:pt idx="39">
                  <c:v>36503.5</c:v>
                </c:pt>
                <c:pt idx="40">
                  <c:v>36538.5</c:v>
                </c:pt>
                <c:pt idx="41">
                  <c:v>36566.5</c:v>
                </c:pt>
                <c:pt idx="42">
                  <c:v>36573.4375</c:v>
                </c:pt>
                <c:pt idx="43">
                  <c:v>36594.5</c:v>
                </c:pt>
                <c:pt idx="44">
                  <c:v>36622.458333333336</c:v>
                </c:pt>
                <c:pt idx="45">
                  <c:v>36650.458333333336</c:v>
                </c:pt>
                <c:pt idx="46">
                  <c:v>36656.395833333336</c:v>
                </c:pt>
                <c:pt idx="47">
                  <c:v>36684.458333333336</c:v>
                </c:pt>
                <c:pt idx="48">
                  <c:v>36713.458333333336</c:v>
                </c:pt>
                <c:pt idx="49">
                  <c:v>36741.458333333336</c:v>
                </c:pt>
                <c:pt idx="50">
                  <c:v>36747.395833333336</c:v>
                </c:pt>
                <c:pt idx="51">
                  <c:v>36776.458333333336</c:v>
                </c:pt>
                <c:pt idx="52">
                  <c:v>36804.458333333336</c:v>
                </c:pt>
                <c:pt idx="53">
                  <c:v>36839.5</c:v>
                </c:pt>
                <c:pt idx="54">
                  <c:v>36846.4375</c:v>
                </c:pt>
                <c:pt idx="55">
                  <c:v>36867.5</c:v>
                </c:pt>
                <c:pt idx="56">
                  <c:v>36902.5</c:v>
                </c:pt>
                <c:pt idx="57">
                  <c:v>36930.5</c:v>
                </c:pt>
                <c:pt idx="58">
                  <c:v>36936.4375</c:v>
                </c:pt>
                <c:pt idx="59">
                  <c:v>36986.458333333336</c:v>
                </c:pt>
                <c:pt idx="60">
                  <c:v>37021.458333333336</c:v>
                </c:pt>
                <c:pt idx="61">
                  <c:v>37027.395833333336</c:v>
                </c:pt>
                <c:pt idx="62">
                  <c:v>37048.458333333336</c:v>
                </c:pt>
                <c:pt idx="63">
                  <c:v>37077.458333333336</c:v>
                </c:pt>
                <c:pt idx="64">
                  <c:v>37105.458333333336</c:v>
                </c:pt>
                <c:pt idx="65">
                  <c:v>37111.395833333336</c:v>
                </c:pt>
                <c:pt idx="66">
                  <c:v>37140.458333333336</c:v>
                </c:pt>
                <c:pt idx="67">
                  <c:v>37152.458333333336</c:v>
                </c:pt>
                <c:pt idx="68">
                  <c:v>37168.458333333336</c:v>
                </c:pt>
                <c:pt idx="69">
                  <c:v>37203.5</c:v>
                </c:pt>
                <c:pt idx="70">
                  <c:v>37209.4375</c:v>
                </c:pt>
                <c:pt idx="71">
                  <c:v>37230.5</c:v>
                </c:pt>
                <c:pt idx="72">
                  <c:v>37266.5</c:v>
                </c:pt>
                <c:pt idx="73">
                  <c:v>37294.5</c:v>
                </c:pt>
                <c:pt idx="74">
                  <c:v>37300.4375</c:v>
                </c:pt>
                <c:pt idx="75">
                  <c:v>37322.5</c:v>
                </c:pt>
                <c:pt idx="76">
                  <c:v>37350.458333333336</c:v>
                </c:pt>
                <c:pt idx="77">
                  <c:v>37385.458333333336</c:v>
                </c:pt>
                <c:pt idx="78">
                  <c:v>37391.395833333336</c:v>
                </c:pt>
                <c:pt idx="79">
                  <c:v>37413.458333333336</c:v>
                </c:pt>
                <c:pt idx="80">
                  <c:v>37441.458333333336</c:v>
                </c:pt>
                <c:pt idx="81">
                  <c:v>37469.458333333336</c:v>
                </c:pt>
                <c:pt idx="82">
                  <c:v>37475.395833333336</c:v>
                </c:pt>
                <c:pt idx="83">
                  <c:v>37504.458333333336</c:v>
                </c:pt>
                <c:pt idx="84">
                  <c:v>37539.458333333336</c:v>
                </c:pt>
                <c:pt idx="85">
                  <c:v>37567.5</c:v>
                </c:pt>
                <c:pt idx="86">
                  <c:v>37573.4375</c:v>
                </c:pt>
                <c:pt idx="87">
                  <c:v>37595.5</c:v>
                </c:pt>
                <c:pt idx="88">
                  <c:v>37630.5</c:v>
                </c:pt>
                <c:pt idx="89">
                  <c:v>37658.5</c:v>
                </c:pt>
                <c:pt idx="90">
                  <c:v>37664.4375</c:v>
                </c:pt>
                <c:pt idx="91">
                  <c:v>37686.5</c:v>
                </c:pt>
                <c:pt idx="92">
                  <c:v>37749.458333333336</c:v>
                </c:pt>
                <c:pt idx="93">
                  <c:v>37756.395833333336</c:v>
                </c:pt>
                <c:pt idx="94">
                  <c:v>37777.458333333336</c:v>
                </c:pt>
                <c:pt idx="95">
                  <c:v>37812.458333333336</c:v>
                </c:pt>
                <c:pt idx="96">
                  <c:v>37840.458333333336</c:v>
                </c:pt>
                <c:pt idx="97">
                  <c:v>37846.395833333336</c:v>
                </c:pt>
                <c:pt idx="98">
                  <c:v>37868.458333333336</c:v>
                </c:pt>
                <c:pt idx="99">
                  <c:v>37903.458333333336</c:v>
                </c:pt>
                <c:pt idx="100">
                  <c:v>37931.5</c:v>
                </c:pt>
                <c:pt idx="101">
                  <c:v>37937.4375</c:v>
                </c:pt>
                <c:pt idx="102">
                  <c:v>37959.5</c:v>
                </c:pt>
                <c:pt idx="103">
                  <c:v>37994.5</c:v>
                </c:pt>
                <c:pt idx="104">
                  <c:v>38022.5</c:v>
                </c:pt>
                <c:pt idx="105">
                  <c:v>38028.4375</c:v>
                </c:pt>
                <c:pt idx="106">
                  <c:v>38050.5</c:v>
                </c:pt>
                <c:pt idx="107">
                  <c:v>38085.458333333336</c:v>
                </c:pt>
                <c:pt idx="108">
                  <c:v>38113.458333333336</c:v>
                </c:pt>
                <c:pt idx="109">
                  <c:v>38119.395833333336</c:v>
                </c:pt>
                <c:pt idx="110">
                  <c:v>38148.458333333336</c:v>
                </c:pt>
                <c:pt idx="111">
                  <c:v>38176.458333333336</c:v>
                </c:pt>
                <c:pt idx="112">
                  <c:v>38204.458333333336</c:v>
                </c:pt>
                <c:pt idx="113">
                  <c:v>38210.395833333336</c:v>
                </c:pt>
                <c:pt idx="114">
                  <c:v>38239.458333333336</c:v>
                </c:pt>
                <c:pt idx="115">
                  <c:v>38267.458333333336</c:v>
                </c:pt>
                <c:pt idx="116">
                  <c:v>38295.5</c:v>
                </c:pt>
                <c:pt idx="117">
                  <c:v>38301.4375</c:v>
                </c:pt>
                <c:pt idx="118">
                  <c:v>38330.5</c:v>
                </c:pt>
                <c:pt idx="119">
                  <c:v>38365.5</c:v>
                </c:pt>
                <c:pt idx="120">
                  <c:v>38393.5</c:v>
                </c:pt>
                <c:pt idx="121">
                  <c:v>38399.4375</c:v>
                </c:pt>
                <c:pt idx="122">
                  <c:v>38421.5</c:v>
                </c:pt>
                <c:pt idx="123">
                  <c:v>38449.458333333336</c:v>
                </c:pt>
                <c:pt idx="124">
                  <c:v>38481.458333333336</c:v>
                </c:pt>
                <c:pt idx="125">
                  <c:v>38483.395833333336</c:v>
                </c:pt>
                <c:pt idx="126">
                  <c:v>38512.458333333336</c:v>
                </c:pt>
                <c:pt idx="127">
                  <c:v>38540.458333333336</c:v>
                </c:pt>
                <c:pt idx="128">
                  <c:v>38568.458333333336</c:v>
                </c:pt>
                <c:pt idx="129">
                  <c:v>38574.395833333336</c:v>
                </c:pt>
                <c:pt idx="130">
                  <c:v>38603.458333333336</c:v>
                </c:pt>
                <c:pt idx="131">
                  <c:v>38631.458333333336</c:v>
                </c:pt>
                <c:pt idx="132">
                  <c:v>38666.5</c:v>
                </c:pt>
                <c:pt idx="133">
                  <c:v>38672.4375</c:v>
                </c:pt>
                <c:pt idx="134">
                  <c:v>38694.5</c:v>
                </c:pt>
                <c:pt idx="135">
                  <c:v>38729.5</c:v>
                </c:pt>
                <c:pt idx="136">
                  <c:v>38757.5</c:v>
                </c:pt>
                <c:pt idx="137">
                  <c:v>38763.4375</c:v>
                </c:pt>
                <c:pt idx="138">
                  <c:v>38785.5</c:v>
                </c:pt>
                <c:pt idx="139">
                  <c:v>38813.458333333336</c:v>
                </c:pt>
                <c:pt idx="140">
                  <c:v>38841.458333333336</c:v>
                </c:pt>
                <c:pt idx="141">
                  <c:v>38847.395833333336</c:v>
                </c:pt>
                <c:pt idx="142">
                  <c:v>38876.458333333336</c:v>
                </c:pt>
                <c:pt idx="143">
                  <c:v>38904.458333333336</c:v>
                </c:pt>
                <c:pt idx="144">
                  <c:v>38932.458333333336</c:v>
                </c:pt>
                <c:pt idx="145">
                  <c:v>38938.395833333336</c:v>
                </c:pt>
                <c:pt idx="146">
                  <c:v>38967.458333333336</c:v>
                </c:pt>
                <c:pt idx="147">
                  <c:v>38995.458333333336</c:v>
                </c:pt>
                <c:pt idx="148">
                  <c:v>39030.5</c:v>
                </c:pt>
                <c:pt idx="149">
                  <c:v>39036.4375</c:v>
                </c:pt>
                <c:pt idx="150">
                  <c:v>39058.5</c:v>
                </c:pt>
                <c:pt idx="151">
                  <c:v>39093.5</c:v>
                </c:pt>
                <c:pt idx="152">
                  <c:v>39121.5</c:v>
                </c:pt>
                <c:pt idx="153">
                  <c:v>39127.4375</c:v>
                </c:pt>
                <c:pt idx="154">
                  <c:v>39149.5</c:v>
                </c:pt>
                <c:pt idx="155">
                  <c:v>39177.458333333336</c:v>
                </c:pt>
                <c:pt idx="156">
                  <c:v>39212.458333333336</c:v>
                </c:pt>
                <c:pt idx="157">
                  <c:v>39218.395833333336</c:v>
                </c:pt>
                <c:pt idx="158">
                  <c:v>39240.458333333336</c:v>
                </c:pt>
                <c:pt idx="159">
                  <c:v>39268.458333333336</c:v>
                </c:pt>
                <c:pt idx="160">
                  <c:v>39296.458333333336</c:v>
                </c:pt>
                <c:pt idx="161">
                  <c:v>39302.395833333336</c:v>
                </c:pt>
                <c:pt idx="162">
                  <c:v>39331.458333333336</c:v>
                </c:pt>
                <c:pt idx="163">
                  <c:v>39359.458333333336</c:v>
                </c:pt>
                <c:pt idx="164">
                  <c:v>39394.5</c:v>
                </c:pt>
                <c:pt idx="165">
                  <c:v>39400.4375</c:v>
                </c:pt>
                <c:pt idx="166">
                  <c:v>39422.5</c:v>
                </c:pt>
                <c:pt idx="167">
                  <c:v>39457.5</c:v>
                </c:pt>
                <c:pt idx="168">
                  <c:v>39485.5</c:v>
                </c:pt>
                <c:pt idx="169">
                  <c:v>39491.4375</c:v>
                </c:pt>
                <c:pt idx="170">
                  <c:v>39513.5</c:v>
                </c:pt>
                <c:pt idx="171">
                  <c:v>39548.458333333336</c:v>
                </c:pt>
                <c:pt idx="172">
                  <c:v>39576.458333333336</c:v>
                </c:pt>
                <c:pt idx="173">
                  <c:v>39582.395833333336</c:v>
                </c:pt>
                <c:pt idx="174">
                  <c:v>39604.458333333336</c:v>
                </c:pt>
                <c:pt idx="175">
                  <c:v>39639.458333333336</c:v>
                </c:pt>
                <c:pt idx="176">
                  <c:v>39667.458333333336</c:v>
                </c:pt>
                <c:pt idx="177">
                  <c:v>39673.395833333336</c:v>
                </c:pt>
                <c:pt idx="178">
                  <c:v>39695.458333333336</c:v>
                </c:pt>
                <c:pt idx="179">
                  <c:v>39729.458333333336</c:v>
                </c:pt>
                <c:pt idx="180">
                  <c:v>39758.5</c:v>
                </c:pt>
                <c:pt idx="181">
                  <c:v>39764.4375</c:v>
                </c:pt>
                <c:pt idx="182">
                  <c:v>39786.5</c:v>
                </c:pt>
                <c:pt idx="183">
                  <c:v>39821.5</c:v>
                </c:pt>
                <c:pt idx="184">
                  <c:v>39849.5</c:v>
                </c:pt>
                <c:pt idx="185">
                  <c:v>39855.4375</c:v>
                </c:pt>
                <c:pt idx="186">
                  <c:v>39877.5</c:v>
                </c:pt>
                <c:pt idx="187">
                  <c:v>39912.458333333336</c:v>
                </c:pt>
                <c:pt idx="188">
                  <c:v>39940.458333333336</c:v>
                </c:pt>
                <c:pt idx="189">
                  <c:v>39946.395833333336</c:v>
                </c:pt>
                <c:pt idx="190">
                  <c:v>39968.458333333336</c:v>
                </c:pt>
                <c:pt idx="191">
                  <c:v>40003.458333333336</c:v>
                </c:pt>
                <c:pt idx="192">
                  <c:v>40031.458333333336</c:v>
                </c:pt>
                <c:pt idx="193">
                  <c:v>40037.395833333336</c:v>
                </c:pt>
                <c:pt idx="194">
                  <c:v>40066.458333333336</c:v>
                </c:pt>
                <c:pt idx="195">
                  <c:v>40094.458333333336</c:v>
                </c:pt>
                <c:pt idx="196">
                  <c:v>40122.5</c:v>
                </c:pt>
                <c:pt idx="197">
                  <c:v>40128.4375</c:v>
                </c:pt>
                <c:pt idx="198">
                  <c:v>40157.5</c:v>
                </c:pt>
                <c:pt idx="199">
                  <c:v>40185.5</c:v>
                </c:pt>
                <c:pt idx="200">
                  <c:v>40213.5</c:v>
                </c:pt>
                <c:pt idx="201">
                  <c:v>40219.4375</c:v>
                </c:pt>
                <c:pt idx="202">
                  <c:v>40241.5</c:v>
                </c:pt>
                <c:pt idx="203">
                  <c:v>40276.458333333336</c:v>
                </c:pt>
                <c:pt idx="204">
                  <c:v>40308.458333333336</c:v>
                </c:pt>
                <c:pt idx="205">
                  <c:v>40310.395833333336</c:v>
                </c:pt>
                <c:pt idx="206">
                  <c:v>40339.458333333336</c:v>
                </c:pt>
                <c:pt idx="207">
                  <c:v>40367.458333333336</c:v>
                </c:pt>
                <c:pt idx="208">
                  <c:v>40395.458333333336</c:v>
                </c:pt>
                <c:pt idx="209">
                  <c:v>40401.395833333336</c:v>
                </c:pt>
                <c:pt idx="210">
                  <c:v>40430.458333333336</c:v>
                </c:pt>
                <c:pt idx="211">
                  <c:v>40458.458333333336</c:v>
                </c:pt>
                <c:pt idx="212">
                  <c:v>40486.5</c:v>
                </c:pt>
                <c:pt idx="213">
                  <c:v>40492.4375</c:v>
                </c:pt>
                <c:pt idx="214">
                  <c:v>40521.5</c:v>
                </c:pt>
                <c:pt idx="215">
                  <c:v>40556.5</c:v>
                </c:pt>
                <c:pt idx="216">
                  <c:v>40584.5</c:v>
                </c:pt>
                <c:pt idx="217">
                  <c:v>40590.4375</c:v>
                </c:pt>
                <c:pt idx="218">
                  <c:v>40612.5</c:v>
                </c:pt>
                <c:pt idx="219">
                  <c:v>40640.458333333336</c:v>
                </c:pt>
                <c:pt idx="220">
                  <c:v>40668.458333333336</c:v>
                </c:pt>
                <c:pt idx="221">
                  <c:v>40674.395833333336</c:v>
                </c:pt>
                <c:pt idx="222">
                  <c:v>40703.458333333336</c:v>
                </c:pt>
                <c:pt idx="223">
                  <c:v>40731.458333333336</c:v>
                </c:pt>
                <c:pt idx="224">
                  <c:v>40759.458333333336</c:v>
                </c:pt>
                <c:pt idx="225">
                  <c:v>40765.395833333336</c:v>
                </c:pt>
                <c:pt idx="226">
                  <c:v>40794.458333333336</c:v>
                </c:pt>
                <c:pt idx="227">
                  <c:v>40822.458333333336</c:v>
                </c:pt>
                <c:pt idx="228">
                  <c:v>40857.5</c:v>
                </c:pt>
                <c:pt idx="229">
                  <c:v>40863.4375</c:v>
                </c:pt>
                <c:pt idx="230">
                  <c:v>40885.5</c:v>
                </c:pt>
                <c:pt idx="231">
                  <c:v>40920.5</c:v>
                </c:pt>
                <c:pt idx="232">
                  <c:v>40948.5</c:v>
                </c:pt>
                <c:pt idx="233">
                  <c:v>40954.4375</c:v>
                </c:pt>
                <c:pt idx="234">
                  <c:v>40976.5</c:v>
                </c:pt>
                <c:pt idx="235">
                  <c:v>41004.458333333336</c:v>
                </c:pt>
                <c:pt idx="236">
                  <c:v>41039.458333333336</c:v>
                </c:pt>
                <c:pt idx="237">
                  <c:v>41045.395833333336</c:v>
                </c:pt>
                <c:pt idx="238">
                  <c:v>41067.458333333336</c:v>
                </c:pt>
                <c:pt idx="239">
                  <c:v>41095.458333333336</c:v>
                </c:pt>
                <c:pt idx="240">
                  <c:v>41123.458333333336</c:v>
                </c:pt>
                <c:pt idx="241">
                  <c:v>41129.395833333336</c:v>
                </c:pt>
                <c:pt idx="242">
                  <c:v>41158.458333333336</c:v>
                </c:pt>
                <c:pt idx="243">
                  <c:v>41186.458333333336</c:v>
                </c:pt>
                <c:pt idx="244">
                  <c:v>41221.5</c:v>
                </c:pt>
                <c:pt idx="245">
                  <c:v>41227.4375</c:v>
                </c:pt>
                <c:pt idx="246">
                  <c:v>41249.5</c:v>
                </c:pt>
                <c:pt idx="247">
                  <c:v>41284.5</c:v>
                </c:pt>
                <c:pt idx="248">
                  <c:v>41312.5</c:v>
                </c:pt>
                <c:pt idx="249">
                  <c:v>41318.4375</c:v>
                </c:pt>
                <c:pt idx="250">
                  <c:v>41340.5</c:v>
                </c:pt>
                <c:pt idx="251">
                  <c:v>41368.458333333336</c:v>
                </c:pt>
                <c:pt idx="252">
                  <c:v>41403.458333333336</c:v>
                </c:pt>
                <c:pt idx="253">
                  <c:v>41409.395833333336</c:v>
                </c:pt>
                <c:pt idx="254">
                  <c:v>41431.458333333336</c:v>
                </c:pt>
                <c:pt idx="255">
                  <c:v>41459.458333333336</c:v>
                </c:pt>
                <c:pt idx="256">
                  <c:v>41487.458333333336</c:v>
                </c:pt>
                <c:pt idx="257">
                  <c:v>41493.395833333336</c:v>
                </c:pt>
                <c:pt idx="258">
                  <c:v>41522.458333333336</c:v>
                </c:pt>
                <c:pt idx="259">
                  <c:v>41557.458333333336</c:v>
                </c:pt>
                <c:pt idx="260">
                  <c:v>41585.5</c:v>
                </c:pt>
                <c:pt idx="261">
                  <c:v>41591.4375</c:v>
                </c:pt>
                <c:pt idx="262">
                  <c:v>41613.5</c:v>
                </c:pt>
                <c:pt idx="263">
                  <c:v>41648.5</c:v>
                </c:pt>
                <c:pt idx="264">
                  <c:v>41676.5</c:v>
                </c:pt>
                <c:pt idx="265">
                  <c:v>41682.4375</c:v>
                </c:pt>
                <c:pt idx="266">
                  <c:v>41704.5</c:v>
                </c:pt>
                <c:pt idx="267">
                  <c:v>41739.458333333336</c:v>
                </c:pt>
                <c:pt idx="268">
                  <c:v>41767.458333333336</c:v>
                </c:pt>
                <c:pt idx="269">
                  <c:v>41773.395833333336</c:v>
                </c:pt>
                <c:pt idx="270">
                  <c:v>41795.458333333336</c:v>
                </c:pt>
                <c:pt idx="271">
                  <c:v>41830.458333333336</c:v>
                </c:pt>
                <c:pt idx="272">
                  <c:v>41858.458333333336</c:v>
                </c:pt>
                <c:pt idx="273">
                  <c:v>41864.395833333336</c:v>
                </c:pt>
                <c:pt idx="274">
                  <c:v>41886.458333333336</c:v>
                </c:pt>
                <c:pt idx="275">
                  <c:v>41921.458333333336</c:v>
                </c:pt>
                <c:pt idx="276">
                  <c:v>41949.5</c:v>
                </c:pt>
                <c:pt idx="277">
                  <c:v>41955.4375</c:v>
                </c:pt>
                <c:pt idx="278">
                  <c:v>41977.5</c:v>
                </c:pt>
                <c:pt idx="279">
                  <c:v>42012.5</c:v>
                </c:pt>
                <c:pt idx="280">
                  <c:v>42040.5</c:v>
                </c:pt>
                <c:pt idx="281">
                  <c:v>42047.4375</c:v>
                </c:pt>
                <c:pt idx="282">
                  <c:v>42068.5</c:v>
                </c:pt>
                <c:pt idx="283">
                  <c:v>42103.458333333336</c:v>
                </c:pt>
                <c:pt idx="284">
                  <c:v>42135.458333333336</c:v>
                </c:pt>
                <c:pt idx="285">
                  <c:v>42137.395833333336</c:v>
                </c:pt>
                <c:pt idx="286">
                  <c:v>42159.458333333336</c:v>
                </c:pt>
                <c:pt idx="287">
                  <c:v>42194.458333333336</c:v>
                </c:pt>
                <c:pt idx="288">
                  <c:v>42222.458333333336</c:v>
                </c:pt>
                <c:pt idx="289">
                  <c:v>42222.489583333336</c:v>
                </c:pt>
                <c:pt idx="290">
                  <c:v>42257.458333333336</c:v>
                </c:pt>
                <c:pt idx="291">
                  <c:v>42285.458333333336</c:v>
                </c:pt>
                <c:pt idx="292">
                  <c:v>42313.5</c:v>
                </c:pt>
                <c:pt idx="293">
                  <c:v>42313.53125</c:v>
                </c:pt>
                <c:pt idx="294">
                  <c:v>42348.5</c:v>
                </c:pt>
                <c:pt idx="295">
                  <c:v>42383.5</c:v>
                </c:pt>
                <c:pt idx="296">
                  <c:v>42404.5</c:v>
                </c:pt>
                <c:pt idx="297">
                  <c:v>42404.520833333336</c:v>
                </c:pt>
                <c:pt idx="298">
                  <c:v>42446.5</c:v>
                </c:pt>
                <c:pt idx="299">
                  <c:v>42474.458333333336</c:v>
                </c:pt>
                <c:pt idx="300">
                  <c:v>42502.458333333336</c:v>
                </c:pt>
                <c:pt idx="301">
                  <c:v>42502.479166666664</c:v>
                </c:pt>
                <c:pt idx="302">
                  <c:v>42537.458333333336</c:v>
                </c:pt>
                <c:pt idx="303">
                  <c:v>42565.458333333336</c:v>
                </c:pt>
                <c:pt idx="304">
                  <c:v>42586.458333333336</c:v>
                </c:pt>
                <c:pt idx="305">
                  <c:v>42586.479166666664</c:v>
                </c:pt>
                <c:pt idx="306">
                  <c:v>42628.458333333336</c:v>
                </c:pt>
                <c:pt idx="307">
                  <c:v>42677.5</c:v>
                </c:pt>
                <c:pt idx="308">
                  <c:v>42677.520833333336</c:v>
                </c:pt>
                <c:pt idx="309">
                  <c:v>42719.5</c:v>
                </c:pt>
                <c:pt idx="310">
                  <c:v>42768.5</c:v>
                </c:pt>
                <c:pt idx="311">
                  <c:v>42768.520833333336</c:v>
                </c:pt>
                <c:pt idx="312">
                  <c:v>42810.5</c:v>
                </c:pt>
                <c:pt idx="313">
                  <c:v>42866.458333333336</c:v>
                </c:pt>
                <c:pt idx="314">
                  <c:v>42866.479166666664</c:v>
                </c:pt>
                <c:pt idx="315">
                  <c:v>42901.458333333336</c:v>
                </c:pt>
                <c:pt idx="316">
                  <c:v>42950.458333333336</c:v>
                </c:pt>
                <c:pt idx="317">
                  <c:v>42950.479166666664</c:v>
                </c:pt>
                <c:pt idx="318">
                  <c:v>42992.458333333336</c:v>
                </c:pt>
                <c:pt idx="319">
                  <c:v>43041.5</c:v>
                </c:pt>
                <c:pt idx="320">
                  <c:v>43041.520833333336</c:v>
                </c:pt>
                <c:pt idx="321">
                  <c:v>43083.5</c:v>
                </c:pt>
                <c:pt idx="322">
                  <c:v>43139.5</c:v>
                </c:pt>
                <c:pt idx="323">
                  <c:v>43139.520833333336</c:v>
                </c:pt>
                <c:pt idx="324">
                  <c:v>43181.5</c:v>
                </c:pt>
                <c:pt idx="325">
                  <c:v>43230.458333333336</c:v>
                </c:pt>
                <c:pt idx="326">
                  <c:v>43230.479166666664</c:v>
                </c:pt>
                <c:pt idx="327">
                  <c:v>43272.458333333336</c:v>
                </c:pt>
                <c:pt idx="328">
                  <c:v>43314.458333333336</c:v>
                </c:pt>
                <c:pt idx="329">
                  <c:v>43314.479166666664</c:v>
                </c:pt>
                <c:pt idx="330">
                  <c:v>43356.458333333336</c:v>
                </c:pt>
                <c:pt idx="331">
                  <c:v>43405.5</c:v>
                </c:pt>
                <c:pt idx="332">
                  <c:v>43405.520833333336</c:v>
                </c:pt>
                <c:pt idx="333">
                  <c:v>43454.5</c:v>
                </c:pt>
                <c:pt idx="334">
                  <c:v>43503.5</c:v>
                </c:pt>
                <c:pt idx="335">
                  <c:v>43503.520833333336</c:v>
                </c:pt>
                <c:pt idx="336">
                  <c:v>43545.5</c:v>
                </c:pt>
                <c:pt idx="337">
                  <c:v>43587.458333333336</c:v>
                </c:pt>
                <c:pt idx="338">
                  <c:v>43587.479166666664</c:v>
                </c:pt>
                <c:pt idx="339">
                  <c:v>43636.458333333336</c:v>
                </c:pt>
                <c:pt idx="340">
                  <c:v>43678.458333333336</c:v>
                </c:pt>
                <c:pt idx="341">
                  <c:v>43678.479166666664</c:v>
                </c:pt>
                <c:pt idx="342">
                  <c:v>43727.458333333336</c:v>
                </c:pt>
                <c:pt idx="343">
                  <c:v>43776.5</c:v>
                </c:pt>
                <c:pt idx="344">
                  <c:v>43776.520833333336</c:v>
                </c:pt>
                <c:pt idx="345">
                  <c:v>43818.5</c:v>
                </c:pt>
                <c:pt idx="346">
                  <c:v>43860.5</c:v>
                </c:pt>
                <c:pt idx="347">
                  <c:v>43860.520833333336</c:v>
                </c:pt>
                <c:pt idx="348">
                  <c:v>43909.606249999997</c:v>
                </c:pt>
                <c:pt idx="349">
                  <c:v>43916.5</c:v>
                </c:pt>
                <c:pt idx="350">
                  <c:v>43958.3125</c:v>
                </c:pt>
                <c:pt idx="351">
                  <c:v>44000.458333333336</c:v>
                </c:pt>
                <c:pt idx="352">
                  <c:v>44049.3125</c:v>
                </c:pt>
                <c:pt idx="353">
                  <c:v>44091.458333333336</c:v>
                </c:pt>
                <c:pt idx="354">
                  <c:v>44140.333333333336</c:v>
                </c:pt>
                <c:pt idx="355">
                  <c:v>44182.5</c:v>
                </c:pt>
                <c:pt idx="356">
                  <c:v>44231.5</c:v>
                </c:pt>
                <c:pt idx="357">
                  <c:v>44231.541666666664</c:v>
                </c:pt>
                <c:pt idx="358">
                  <c:v>44273.5</c:v>
                </c:pt>
                <c:pt idx="359">
                  <c:v>44322.458333333336</c:v>
                </c:pt>
                <c:pt idx="360">
                  <c:v>44322.5</c:v>
                </c:pt>
                <c:pt idx="361">
                  <c:v>44371.458333333336</c:v>
                </c:pt>
                <c:pt idx="362">
                  <c:v>44413.458333333336</c:v>
                </c:pt>
                <c:pt idx="363">
                  <c:v>44413.5</c:v>
                </c:pt>
                <c:pt idx="364">
                  <c:v>44462.458333333336</c:v>
                </c:pt>
                <c:pt idx="365">
                  <c:v>44504.5</c:v>
                </c:pt>
                <c:pt idx="366">
                  <c:v>44504.520833333336</c:v>
                </c:pt>
                <c:pt idx="367">
                  <c:v>44546.5</c:v>
                </c:pt>
                <c:pt idx="368">
                  <c:v>44595.5</c:v>
                </c:pt>
                <c:pt idx="369">
                  <c:v>44595.520833333336</c:v>
                </c:pt>
                <c:pt idx="370">
                  <c:v>44637.5</c:v>
                </c:pt>
                <c:pt idx="371">
                  <c:v>44686.458333333336</c:v>
                </c:pt>
                <c:pt idx="372">
                  <c:v>44686.479166666664</c:v>
                </c:pt>
                <c:pt idx="373">
                  <c:v>44728.458333333336</c:v>
                </c:pt>
                <c:pt idx="374">
                  <c:v>44777.458333333336</c:v>
                </c:pt>
                <c:pt idx="375">
                  <c:v>44777.479166666664</c:v>
                </c:pt>
                <c:pt idx="376">
                  <c:v>44826.458333333336</c:v>
                </c:pt>
                <c:pt idx="377">
                  <c:v>44868.5</c:v>
                </c:pt>
                <c:pt idx="378">
                  <c:v>44868.520833333336</c:v>
                </c:pt>
                <c:pt idx="379">
                  <c:v>44910.5</c:v>
                </c:pt>
                <c:pt idx="380">
                  <c:v>44959.5</c:v>
                </c:pt>
                <c:pt idx="381">
                  <c:v>44959.520833333336</c:v>
                </c:pt>
                <c:pt idx="382">
                  <c:v>45008.5</c:v>
                </c:pt>
                <c:pt idx="383">
                  <c:v>45057.458333333336</c:v>
                </c:pt>
                <c:pt idx="384">
                  <c:v>45057.479166666664</c:v>
                </c:pt>
                <c:pt idx="385">
                  <c:v>45099.458333333336</c:v>
                </c:pt>
                <c:pt idx="386">
                  <c:v>45141.458333333336</c:v>
                </c:pt>
                <c:pt idx="387">
                  <c:v>45141.479166666664</c:v>
                </c:pt>
                <c:pt idx="388">
                  <c:v>45190.458333333336</c:v>
                </c:pt>
                <c:pt idx="389">
                  <c:v>45232.5</c:v>
                </c:pt>
                <c:pt idx="390">
                  <c:v>45232.520833333336</c:v>
                </c:pt>
                <c:pt idx="391">
                  <c:v>45274.5</c:v>
                </c:pt>
                <c:pt idx="392">
                  <c:v>45323.5</c:v>
                </c:pt>
                <c:pt idx="393">
                  <c:v>45323.520833333336</c:v>
                </c:pt>
                <c:pt idx="394">
                  <c:v>45372.5</c:v>
                </c:pt>
                <c:pt idx="395">
                  <c:v>45421.458333333336</c:v>
                </c:pt>
                <c:pt idx="396">
                  <c:v>45421.479166666664</c:v>
                </c:pt>
                <c:pt idx="397">
                  <c:v>45463.458333333336</c:v>
                </c:pt>
                <c:pt idx="398">
                  <c:v>45505.458333333336</c:v>
                </c:pt>
                <c:pt idx="399">
                  <c:v>45505.479166666664</c:v>
                </c:pt>
                <c:pt idx="400">
                  <c:v>45554.458333333336</c:v>
                </c:pt>
                <c:pt idx="401">
                  <c:v>45603.5</c:v>
                </c:pt>
                <c:pt idx="402">
                  <c:v>45603.520833333336</c:v>
                </c:pt>
                <c:pt idx="403">
                  <c:v>45645.5</c:v>
                </c:pt>
                <c:pt idx="404">
                  <c:v>45694.5</c:v>
                </c:pt>
                <c:pt idx="405">
                  <c:v>45694.520833333336</c:v>
                </c:pt>
                <c:pt idx="406">
                  <c:v>45736.5</c:v>
                </c:pt>
                <c:pt idx="407">
                  <c:v>45785.458333333336</c:v>
                </c:pt>
                <c:pt idx="408">
                  <c:v>45785.479166666664</c:v>
                </c:pt>
                <c:pt idx="409">
                  <c:v>45827.458333333336</c:v>
                </c:pt>
                <c:pt idx="410">
                  <c:v>45876.458333333336</c:v>
                </c:pt>
                <c:pt idx="411">
                  <c:v>45876.479166666664</c:v>
                </c:pt>
                <c:pt idx="412">
                  <c:v>45918.458333333336</c:v>
                </c:pt>
                <c:pt idx="413">
                  <c:v>45967.5</c:v>
                </c:pt>
                <c:pt idx="414">
                  <c:v>45967.520833333336</c:v>
                </c:pt>
              </c:numCache>
            </c:numRef>
          </c:cat>
          <c:val>
            <c:numRef>
              <c:f>factors!$C$2:$C$416</c:f>
              <c:numCache>
                <c:formatCode>General</c:formatCode>
                <c:ptCount val="415"/>
                <c:pt idx="0">
                  <c:v>5.7369308096855968E-2</c:v>
                </c:pt>
                <c:pt idx="1">
                  <c:v>1.2228001500084134E-2</c:v>
                </c:pt>
                <c:pt idx="2">
                  <c:v>-7.2559781087873726E-2</c:v>
                </c:pt>
                <c:pt idx="3">
                  <c:v>-1.9555864056641593E-2</c:v>
                </c:pt>
                <c:pt idx="4">
                  <c:v>4.117297454533095E-3</c:v>
                </c:pt>
                <c:pt idx="5">
                  <c:v>2.7446480545164343E-2</c:v>
                </c:pt>
                <c:pt idx="6">
                  <c:v>0.15013052361901111</c:v>
                </c:pt>
                <c:pt idx="7">
                  <c:v>-4.3131537276070241E-2</c:v>
                </c:pt>
                <c:pt idx="8">
                  <c:v>-3.3804177009311466E-2</c:v>
                </c:pt>
                <c:pt idx="9">
                  <c:v>-2.8697617815433705E-2</c:v>
                </c:pt>
                <c:pt idx="10">
                  <c:v>-1.9565483483842665E-2</c:v>
                </c:pt>
                <c:pt idx="11">
                  <c:v>6.2643460570501672E-2</c:v>
                </c:pt>
                <c:pt idx="12">
                  <c:v>-7.9601052464874422E-2</c:v>
                </c:pt>
                <c:pt idx="13">
                  <c:v>1.0774208134484901E-2</c:v>
                </c:pt>
                <c:pt idx="14">
                  <c:v>-1.0279756306854486E-2</c:v>
                </c:pt>
                <c:pt idx="15">
                  <c:v>-1.0866104127866065E-2</c:v>
                </c:pt>
                <c:pt idx="16">
                  <c:v>0.18361755463974072</c:v>
                </c:pt>
                <c:pt idx="17">
                  <c:v>-8.4167728043899617E-2</c:v>
                </c:pt>
                <c:pt idx="18">
                  <c:v>2.6547344595451196E-2</c:v>
                </c:pt>
                <c:pt idx="19">
                  <c:v>3.4062412660239627E-2</c:v>
                </c:pt>
                <c:pt idx="20">
                  <c:v>-9.1420194302071628E-2</c:v>
                </c:pt>
                <c:pt idx="21">
                  <c:v>-9.7968735117106381E-2</c:v>
                </c:pt>
                <c:pt idx="22">
                  <c:v>0.13305027095008914</c:v>
                </c:pt>
                <c:pt idx="23">
                  <c:v>-5.6042986374859202E-2</c:v>
                </c:pt>
                <c:pt idx="24">
                  <c:v>-6.0650577987459153E-2</c:v>
                </c:pt>
                <c:pt idx="25">
                  <c:v>-0.16114125136613058</c:v>
                </c:pt>
                <c:pt idx="26">
                  <c:v>-6.1757876587771085E-2</c:v>
                </c:pt>
                <c:pt idx="27">
                  <c:v>0.13606856911191217</c:v>
                </c:pt>
                <c:pt idx="28">
                  <c:v>-3.3614403291618625E-3</c:v>
                </c:pt>
                <c:pt idx="29">
                  <c:v>4.0037968398158402E-2</c:v>
                </c:pt>
                <c:pt idx="30">
                  <c:v>-1.4297039639355223E-2</c:v>
                </c:pt>
                <c:pt idx="31">
                  <c:v>-8.408163325970136E-2</c:v>
                </c:pt>
                <c:pt idx="32">
                  <c:v>2.5074881801927133E-2</c:v>
                </c:pt>
                <c:pt idx="33">
                  <c:v>-3.7114466380458334E-3</c:v>
                </c:pt>
                <c:pt idx="34">
                  <c:v>-1.8400770898739451E-2</c:v>
                </c:pt>
                <c:pt idx="35">
                  <c:v>0.22628668691039638</c:v>
                </c:pt>
                <c:pt idx="36">
                  <c:v>-3.8961157625474786E-2</c:v>
                </c:pt>
                <c:pt idx="37">
                  <c:v>-2.4176316131385302E-2</c:v>
                </c:pt>
                <c:pt idx="38">
                  <c:v>-5.9142440159491967E-3</c:v>
                </c:pt>
                <c:pt idx="39">
                  <c:v>-7.3716630878299758E-2</c:v>
                </c:pt>
                <c:pt idx="40">
                  <c:v>-6.2346237908491683E-2</c:v>
                </c:pt>
                <c:pt idx="41">
                  <c:v>1.0696461574661711E-2</c:v>
                </c:pt>
                <c:pt idx="42">
                  <c:v>-4.6257030288140544E-2</c:v>
                </c:pt>
                <c:pt idx="43">
                  <c:v>-2.2323827525916894E-2</c:v>
                </c:pt>
                <c:pt idx="44">
                  <c:v>-6.0130686412395336E-2</c:v>
                </c:pt>
                <c:pt idx="45">
                  <c:v>-4.0909051167660256E-2</c:v>
                </c:pt>
                <c:pt idx="46">
                  <c:v>-2.1356498218584919E-2</c:v>
                </c:pt>
                <c:pt idx="47">
                  <c:v>-2.6603711629479287E-2</c:v>
                </c:pt>
                <c:pt idx="48">
                  <c:v>9.2984723365236877E-3</c:v>
                </c:pt>
                <c:pt idx="49">
                  <c:v>-4.8078089910408454E-2</c:v>
                </c:pt>
                <c:pt idx="50">
                  <c:v>-2.2918395407903771E-2</c:v>
                </c:pt>
                <c:pt idx="51">
                  <c:v>-6.6836558000625018E-2</c:v>
                </c:pt>
                <c:pt idx="52">
                  <c:v>-9.7185486055001314E-3</c:v>
                </c:pt>
                <c:pt idx="53">
                  <c:v>1.9943866773645152E-4</c:v>
                </c:pt>
                <c:pt idx="54">
                  <c:v>4.8957218427883231E-3</c:v>
                </c:pt>
                <c:pt idx="55">
                  <c:v>-4.2225447652878128E-4</c:v>
                </c:pt>
                <c:pt idx="56">
                  <c:v>3.9015819378730013E-2</c:v>
                </c:pt>
                <c:pt idx="57">
                  <c:v>1.7953854139925066E-2</c:v>
                </c:pt>
                <c:pt idx="58">
                  <c:v>1.8756124025796211E-2</c:v>
                </c:pt>
                <c:pt idx="59">
                  <c:v>4.7441550135029261E-4</c:v>
                </c:pt>
                <c:pt idx="60">
                  <c:v>5.0496466755377195E-2</c:v>
                </c:pt>
                <c:pt idx="61">
                  <c:v>-2.232950870533643E-3</c:v>
                </c:pt>
                <c:pt idx="62">
                  <c:v>7.0443405694523295E-3</c:v>
                </c:pt>
                <c:pt idx="63">
                  <c:v>-1.1642218082109905E-3</c:v>
                </c:pt>
                <c:pt idx="64">
                  <c:v>-0.17286059469957427</c:v>
                </c:pt>
                <c:pt idx="65">
                  <c:v>6.9336888222822348E-3</c:v>
                </c:pt>
                <c:pt idx="66">
                  <c:v>1.8280679994421799E-2</c:v>
                </c:pt>
                <c:pt idx="67">
                  <c:v>3.8606689414445693E-2</c:v>
                </c:pt>
                <c:pt idx="68">
                  <c:v>-5.4306359494800227E-2</c:v>
                </c:pt>
                <c:pt idx="69">
                  <c:v>-0.15549511086158149</c:v>
                </c:pt>
                <c:pt idx="70">
                  <c:v>3.3349342415289085E-2</c:v>
                </c:pt>
                <c:pt idx="71">
                  <c:v>1.3719757904319901E-2</c:v>
                </c:pt>
                <c:pt idx="72">
                  <c:v>3.7791901712372908E-3</c:v>
                </c:pt>
                <c:pt idx="73">
                  <c:v>3.8049280033980865E-2</c:v>
                </c:pt>
                <c:pt idx="74">
                  <c:v>-1.9305778175629919E-2</c:v>
                </c:pt>
                <c:pt idx="75">
                  <c:v>-2.3349768765661945E-3</c:v>
                </c:pt>
                <c:pt idx="76">
                  <c:v>-1.834388577484573E-2</c:v>
                </c:pt>
                <c:pt idx="77">
                  <c:v>-1.7235777723860389E-2</c:v>
                </c:pt>
                <c:pt idx="78">
                  <c:v>5.9680468308791534E-2</c:v>
                </c:pt>
                <c:pt idx="79">
                  <c:v>-6.4317702534803289E-2</c:v>
                </c:pt>
                <c:pt idx="80">
                  <c:v>-1.9050576314731817E-2</c:v>
                </c:pt>
                <c:pt idx="81">
                  <c:v>2.5806501973395391E-2</c:v>
                </c:pt>
                <c:pt idx="82">
                  <c:v>-2.2928217537166739E-2</c:v>
                </c:pt>
                <c:pt idx="83">
                  <c:v>1.7219673407301541E-2</c:v>
                </c:pt>
                <c:pt idx="84">
                  <c:v>1.7710599539354419E-2</c:v>
                </c:pt>
                <c:pt idx="85">
                  <c:v>0.13406919141108237</c:v>
                </c:pt>
                <c:pt idx="86">
                  <c:v>1.0382032884658898E-2</c:v>
                </c:pt>
                <c:pt idx="87">
                  <c:v>8.0645993824151538E-3</c:v>
                </c:pt>
                <c:pt idx="88">
                  <c:v>1.6281057709135724E-2</c:v>
                </c:pt>
                <c:pt idx="89">
                  <c:v>-0.15878822341604679</c:v>
                </c:pt>
                <c:pt idx="90">
                  <c:v>3.6334464491680494E-3</c:v>
                </c:pt>
                <c:pt idx="91">
                  <c:v>2.1111842524046284E-2</c:v>
                </c:pt>
                <c:pt idx="92">
                  <c:v>5.8057184569486692E-2</c:v>
                </c:pt>
                <c:pt idx="93">
                  <c:v>-1.9699691529886373E-2</c:v>
                </c:pt>
                <c:pt idx="94">
                  <c:v>4.0548855624402393E-2</c:v>
                </c:pt>
                <c:pt idx="95">
                  <c:v>-7.2708986872321982E-2</c:v>
                </c:pt>
                <c:pt idx="96">
                  <c:v>2.7730850106505397E-3</c:v>
                </c:pt>
                <c:pt idx="97">
                  <c:v>-1.2812322470338153E-2</c:v>
                </c:pt>
                <c:pt idx="98">
                  <c:v>-2.7021353372437443E-2</c:v>
                </c:pt>
                <c:pt idx="99">
                  <c:v>-1.6810338097528594E-2</c:v>
                </c:pt>
                <c:pt idx="100">
                  <c:v>-1.1219554394373468E-2</c:v>
                </c:pt>
                <c:pt idx="101">
                  <c:v>-2.2520532983347193E-3</c:v>
                </c:pt>
                <c:pt idx="102">
                  <c:v>-1.8489547901765942E-2</c:v>
                </c:pt>
                <c:pt idx="103">
                  <c:v>-3.9523752766071174E-2</c:v>
                </c:pt>
                <c:pt idx="104">
                  <c:v>2.3733753132127583E-2</c:v>
                </c:pt>
                <c:pt idx="105">
                  <c:v>-9.9384578343408563E-3</c:v>
                </c:pt>
                <c:pt idx="106">
                  <c:v>-2.8252097594131373E-2</c:v>
                </c:pt>
                <c:pt idx="107">
                  <c:v>-5.1218526888497859E-2</c:v>
                </c:pt>
                <c:pt idx="108">
                  <c:v>1.1108514877789003E-2</c:v>
                </c:pt>
                <c:pt idx="109">
                  <c:v>1.9371798471280521E-2</c:v>
                </c:pt>
                <c:pt idx="110">
                  <c:v>2.7241878507652362E-2</c:v>
                </c:pt>
                <c:pt idx="111">
                  <c:v>-2.62420788104132E-2</c:v>
                </c:pt>
                <c:pt idx="112">
                  <c:v>-2.7884461042347968E-2</c:v>
                </c:pt>
                <c:pt idx="113">
                  <c:v>-1.0132380516097397E-2</c:v>
                </c:pt>
                <c:pt idx="114">
                  <c:v>6.9152054617371516E-5</c:v>
                </c:pt>
                <c:pt idx="115">
                  <c:v>-6.9682364253733321E-3</c:v>
                </c:pt>
                <c:pt idx="116">
                  <c:v>-9.9721235049952985E-3</c:v>
                </c:pt>
                <c:pt idx="117">
                  <c:v>-3.927875835435677E-2</c:v>
                </c:pt>
                <c:pt idx="118">
                  <c:v>-2.6123533614484181E-3</c:v>
                </c:pt>
                <c:pt idx="119">
                  <c:v>1.5478640202611534E-3</c:v>
                </c:pt>
                <c:pt idx="120">
                  <c:v>-1.1254284689973165E-2</c:v>
                </c:pt>
                <c:pt idx="121">
                  <c:v>-4.0241134259614224E-2</c:v>
                </c:pt>
                <c:pt idx="122">
                  <c:v>-5.378210113853208E-2</c:v>
                </c:pt>
                <c:pt idx="123">
                  <c:v>-1.0639493321080601E-2</c:v>
                </c:pt>
                <c:pt idx="124">
                  <c:v>-9.2603218526960181E-3</c:v>
                </c:pt>
                <c:pt idx="125">
                  <c:v>-2.1761165875469057E-2</c:v>
                </c:pt>
                <c:pt idx="126">
                  <c:v>1.8664743341734102E-3</c:v>
                </c:pt>
                <c:pt idx="127">
                  <c:v>5.441096558535511E-2</c:v>
                </c:pt>
                <c:pt idx="128">
                  <c:v>-1.972111751669578E-2</c:v>
                </c:pt>
                <c:pt idx="129">
                  <c:v>2.8139989815289059E-2</c:v>
                </c:pt>
                <c:pt idx="130">
                  <c:v>-1.8657249540186894E-3</c:v>
                </c:pt>
                <c:pt idx="131">
                  <c:v>3.8630882931330249E-5</c:v>
                </c:pt>
                <c:pt idx="132">
                  <c:v>1.0951126311757634E-3</c:v>
                </c:pt>
                <c:pt idx="133">
                  <c:v>-1.0870005269740131E-3</c:v>
                </c:pt>
                <c:pt idx="134">
                  <c:v>-2.4172187198010319E-4</c:v>
                </c:pt>
                <c:pt idx="135">
                  <c:v>7.1354577447183161E-3</c:v>
                </c:pt>
                <c:pt idx="136">
                  <c:v>1.1124104663710754E-2</c:v>
                </c:pt>
                <c:pt idx="137">
                  <c:v>3.6255165962656814E-2</c:v>
                </c:pt>
                <c:pt idx="138">
                  <c:v>3.6042283037346855E-4</c:v>
                </c:pt>
                <c:pt idx="139">
                  <c:v>-5.976474628360724E-4</c:v>
                </c:pt>
                <c:pt idx="140">
                  <c:v>-1.1374412512619788E-3</c:v>
                </c:pt>
                <c:pt idx="141">
                  <c:v>-2.063153885534149E-2</c:v>
                </c:pt>
                <c:pt idx="142">
                  <c:v>-2.32611593073777E-3</c:v>
                </c:pt>
                <c:pt idx="143">
                  <c:v>-1.6367636958946165E-4</c:v>
                </c:pt>
                <c:pt idx="144">
                  <c:v>0.1311668212805443</c:v>
                </c:pt>
                <c:pt idx="145">
                  <c:v>-9.2993254494477297E-3</c:v>
                </c:pt>
                <c:pt idx="146">
                  <c:v>-8.0087673441029596E-3</c:v>
                </c:pt>
                <c:pt idx="147">
                  <c:v>-3.7193062244380154E-2</c:v>
                </c:pt>
                <c:pt idx="148">
                  <c:v>-1.498220732561037E-3</c:v>
                </c:pt>
                <c:pt idx="149">
                  <c:v>-1.0899834205230908E-2</c:v>
                </c:pt>
                <c:pt idx="150">
                  <c:v>9.5312933935194451E-5</c:v>
                </c:pt>
                <c:pt idx="151">
                  <c:v>0.16623209894060123</c:v>
                </c:pt>
                <c:pt idx="152">
                  <c:v>-5.2475083904926605E-2</c:v>
                </c:pt>
                <c:pt idx="153">
                  <c:v>3.9598125249165478E-3</c:v>
                </c:pt>
                <c:pt idx="154">
                  <c:v>-3.8402357200735052E-2</c:v>
                </c:pt>
                <c:pt idx="155">
                  <c:v>-4.8444865077817867E-2</c:v>
                </c:pt>
                <c:pt idx="156">
                  <c:v>-5.6584475793524519E-4</c:v>
                </c:pt>
                <c:pt idx="157">
                  <c:v>1.409200726338744E-2</c:v>
                </c:pt>
                <c:pt idx="158">
                  <c:v>-3.70626782981862E-2</c:v>
                </c:pt>
                <c:pt idx="159">
                  <c:v>1.1009994107901695E-2</c:v>
                </c:pt>
                <c:pt idx="160">
                  <c:v>-8.4641587499670861E-3</c:v>
                </c:pt>
                <c:pt idx="161">
                  <c:v>4.2308239349095255E-3</c:v>
                </c:pt>
                <c:pt idx="162">
                  <c:v>6.3508575817637159E-3</c:v>
                </c:pt>
                <c:pt idx="163">
                  <c:v>5.6330528322167492E-2</c:v>
                </c:pt>
                <c:pt idx="164">
                  <c:v>4.9802843121047158E-2</c:v>
                </c:pt>
                <c:pt idx="165">
                  <c:v>-6.5674348590289131E-2</c:v>
                </c:pt>
                <c:pt idx="166">
                  <c:v>4.7215187795174356E-2</c:v>
                </c:pt>
                <c:pt idx="167">
                  <c:v>6.0783668974605215E-2</c:v>
                </c:pt>
                <c:pt idx="168">
                  <c:v>6.7728765643724556E-2</c:v>
                </c:pt>
                <c:pt idx="169">
                  <c:v>3.1444165546308876E-2</c:v>
                </c:pt>
                <c:pt idx="170">
                  <c:v>9.4379077914039152E-3</c:v>
                </c:pt>
                <c:pt idx="171">
                  <c:v>5.3632103553943399E-2</c:v>
                </c:pt>
                <c:pt idx="172">
                  <c:v>2.9491681018111445E-2</c:v>
                </c:pt>
                <c:pt idx="173">
                  <c:v>-6.0737486474507464E-4</c:v>
                </c:pt>
                <c:pt idx="174">
                  <c:v>5.7791927226614852E-3</c:v>
                </c:pt>
                <c:pt idx="175">
                  <c:v>1.6112994774079049E-2</c:v>
                </c:pt>
                <c:pt idx="176">
                  <c:v>-2.5452675799494708E-2</c:v>
                </c:pt>
                <c:pt idx="177">
                  <c:v>-8.438160757100592E-2</c:v>
                </c:pt>
                <c:pt idx="178">
                  <c:v>1.2825546785313306E-2</c:v>
                </c:pt>
                <c:pt idx="179">
                  <c:v>8.7494680640997455E-2</c:v>
                </c:pt>
                <c:pt idx="180">
                  <c:v>-0.42108771478157642</c:v>
                </c:pt>
                <c:pt idx="181">
                  <c:v>-9.5059603587087066E-2</c:v>
                </c:pt>
                <c:pt idx="182">
                  <c:v>0.211553567986004</c:v>
                </c:pt>
                <c:pt idx="183">
                  <c:v>3.5372228099530043E-2</c:v>
                </c:pt>
                <c:pt idx="184">
                  <c:v>2.4877395107188893E-2</c:v>
                </c:pt>
                <c:pt idx="185">
                  <c:v>-6.8795997137677131E-2</c:v>
                </c:pt>
                <c:pt idx="186">
                  <c:v>4.4209644423612915E-2</c:v>
                </c:pt>
                <c:pt idx="187">
                  <c:v>1.0384025328105137E-2</c:v>
                </c:pt>
                <c:pt idx="188">
                  <c:v>-5.3977461552668759E-3</c:v>
                </c:pt>
                <c:pt idx="189">
                  <c:v>-2.0068735793771924E-2</c:v>
                </c:pt>
                <c:pt idx="190">
                  <c:v>-2.1229022099650244E-3</c:v>
                </c:pt>
                <c:pt idx="191">
                  <c:v>8.9968871742556432E-3</c:v>
                </c:pt>
                <c:pt idx="192">
                  <c:v>-3.6372418200433305E-2</c:v>
                </c:pt>
                <c:pt idx="193">
                  <c:v>-1.6290133356658191E-2</c:v>
                </c:pt>
                <c:pt idx="194">
                  <c:v>3.7607925670051334E-2</c:v>
                </c:pt>
                <c:pt idx="195">
                  <c:v>-2.606797278244569E-3</c:v>
                </c:pt>
                <c:pt idx="196">
                  <c:v>5.3212363832367514E-2</c:v>
                </c:pt>
                <c:pt idx="197">
                  <c:v>4.147188936902118E-3</c:v>
                </c:pt>
                <c:pt idx="198">
                  <c:v>4.3737882797503054E-3</c:v>
                </c:pt>
                <c:pt idx="199">
                  <c:v>-3.3041293383679446E-3</c:v>
                </c:pt>
                <c:pt idx="200">
                  <c:v>2.1956086727368193E-2</c:v>
                </c:pt>
                <c:pt idx="201">
                  <c:v>3.3831852875577419E-4</c:v>
                </c:pt>
                <c:pt idx="202">
                  <c:v>-2.9242151235636788E-3</c:v>
                </c:pt>
                <c:pt idx="203">
                  <c:v>-9.154726920518882E-4</c:v>
                </c:pt>
                <c:pt idx="204">
                  <c:v>-7.7842970018261615E-3</c:v>
                </c:pt>
                <c:pt idx="205">
                  <c:v>-1.9842608297936334E-3</c:v>
                </c:pt>
                <c:pt idx="206">
                  <c:v>1.3418189696455399E-3</c:v>
                </c:pt>
                <c:pt idx="207">
                  <c:v>2.3454114078987577E-4</c:v>
                </c:pt>
                <c:pt idx="208">
                  <c:v>4.2891086128195652E-4</c:v>
                </c:pt>
                <c:pt idx="209">
                  <c:v>-9.3738470098569983E-3</c:v>
                </c:pt>
                <c:pt idx="210">
                  <c:v>1.1471347634011363E-3</c:v>
                </c:pt>
                <c:pt idx="211">
                  <c:v>9.4954429090401114E-4</c:v>
                </c:pt>
                <c:pt idx="212">
                  <c:v>1.6018401282874618E-3</c:v>
                </c:pt>
                <c:pt idx="213">
                  <c:v>-6.9581992179246696E-3</c:v>
                </c:pt>
                <c:pt idx="214">
                  <c:v>1.9866164898392417E-3</c:v>
                </c:pt>
                <c:pt idx="215">
                  <c:v>-9.3779421261713496E-3</c:v>
                </c:pt>
                <c:pt idx="216">
                  <c:v>-2.1537354204572864E-2</c:v>
                </c:pt>
                <c:pt idx="217">
                  <c:v>-2.5649994825710686E-2</c:v>
                </c:pt>
                <c:pt idx="218">
                  <c:v>-2.7123371520910898E-2</c:v>
                </c:pt>
                <c:pt idx="219">
                  <c:v>-1.81799680235308E-2</c:v>
                </c:pt>
                <c:pt idx="220">
                  <c:v>-2.5556214997483275E-3</c:v>
                </c:pt>
                <c:pt idx="221">
                  <c:v>4.4264918137860276E-3</c:v>
                </c:pt>
                <c:pt idx="222">
                  <c:v>-7.2988684368727256E-5</c:v>
                </c:pt>
                <c:pt idx="223">
                  <c:v>-2.0304324963839417E-3</c:v>
                </c:pt>
                <c:pt idx="224">
                  <c:v>5.7783532150692254E-3</c:v>
                </c:pt>
                <c:pt idx="225">
                  <c:v>1.3283520005532552E-2</c:v>
                </c:pt>
                <c:pt idx="226">
                  <c:v>3.3708988458032111E-3</c:v>
                </c:pt>
                <c:pt idx="227">
                  <c:v>-2.7196020739924786E-2</c:v>
                </c:pt>
                <c:pt idx="228">
                  <c:v>1.9546890883244385E-2</c:v>
                </c:pt>
                <c:pt idx="229">
                  <c:v>-7.7936201734774046E-3</c:v>
                </c:pt>
                <c:pt idx="230">
                  <c:v>7.8474580772230247E-3</c:v>
                </c:pt>
                <c:pt idx="231">
                  <c:v>-9.9473062650251715E-3</c:v>
                </c:pt>
                <c:pt idx="232">
                  <c:v>7.1339757635755464E-3</c:v>
                </c:pt>
                <c:pt idx="233">
                  <c:v>7.6696910491411336E-4</c:v>
                </c:pt>
                <c:pt idx="234">
                  <c:v>-1.4203623175022089E-3</c:v>
                </c:pt>
                <c:pt idx="235">
                  <c:v>-1.6806645864238829E-3</c:v>
                </c:pt>
                <c:pt idx="236">
                  <c:v>-5.92244255888794E-4</c:v>
                </c:pt>
                <c:pt idx="237">
                  <c:v>-2.4287738286650679E-3</c:v>
                </c:pt>
                <c:pt idx="238">
                  <c:v>9.8966803693941122E-3</c:v>
                </c:pt>
                <c:pt idx="239">
                  <c:v>2.1722195401809023E-2</c:v>
                </c:pt>
                <c:pt idx="240">
                  <c:v>8.8190703917385479E-3</c:v>
                </c:pt>
                <c:pt idx="241">
                  <c:v>4.325379645763585E-2</c:v>
                </c:pt>
                <c:pt idx="242">
                  <c:v>8.287814942390212E-3</c:v>
                </c:pt>
                <c:pt idx="243">
                  <c:v>-8.7857214814384592E-4</c:v>
                </c:pt>
                <c:pt idx="244">
                  <c:v>9.0487495933574118E-3</c:v>
                </c:pt>
                <c:pt idx="245">
                  <c:v>-4.3719550459337406E-3</c:v>
                </c:pt>
                <c:pt idx="246">
                  <c:v>-2.8872185624761115E-4</c:v>
                </c:pt>
                <c:pt idx="247">
                  <c:v>-1.0320163618152253E-4</c:v>
                </c:pt>
                <c:pt idx="248">
                  <c:v>-3.5507292861924325E-3</c:v>
                </c:pt>
                <c:pt idx="249">
                  <c:v>2.0904802042793626E-3</c:v>
                </c:pt>
                <c:pt idx="250">
                  <c:v>1.7384616849500965E-2</c:v>
                </c:pt>
                <c:pt idx="251">
                  <c:v>-2.7325984468590866E-4</c:v>
                </c:pt>
                <c:pt idx="252">
                  <c:v>8.2306777474538198E-3</c:v>
                </c:pt>
                <c:pt idx="253">
                  <c:v>-1.5120831142311438E-4</c:v>
                </c:pt>
                <c:pt idx="254">
                  <c:v>1.836378168824242E-3</c:v>
                </c:pt>
                <c:pt idx="255">
                  <c:v>-1.5306012978779541E-2</c:v>
                </c:pt>
                <c:pt idx="256">
                  <c:v>1.9911181239195028E-2</c:v>
                </c:pt>
                <c:pt idx="257">
                  <c:v>2.2697604781074889E-3</c:v>
                </c:pt>
                <c:pt idx="258">
                  <c:v>-1.258172190893141E-3</c:v>
                </c:pt>
                <c:pt idx="259">
                  <c:v>-5.9794570579927266E-4</c:v>
                </c:pt>
                <c:pt idx="260">
                  <c:v>2.1491683256151923E-6</c:v>
                </c:pt>
                <c:pt idx="261">
                  <c:v>-1.5630372037714988E-3</c:v>
                </c:pt>
                <c:pt idx="262">
                  <c:v>3.3737309548586497E-3</c:v>
                </c:pt>
                <c:pt idx="263">
                  <c:v>3.7753299081974242E-4</c:v>
                </c:pt>
                <c:pt idx="264">
                  <c:v>-1.8966620308287594E-3</c:v>
                </c:pt>
                <c:pt idx="265">
                  <c:v>1.3146863929415348E-3</c:v>
                </c:pt>
                <c:pt idx="266">
                  <c:v>1.9311113635726742E-3</c:v>
                </c:pt>
                <c:pt idx="267">
                  <c:v>8.4945262122775424E-4</c:v>
                </c:pt>
                <c:pt idx="268">
                  <c:v>-1.9074265433707328E-4</c:v>
                </c:pt>
                <c:pt idx="269">
                  <c:v>1.9554718564593382E-3</c:v>
                </c:pt>
                <c:pt idx="270">
                  <c:v>-4.6002265555743406E-4</c:v>
                </c:pt>
                <c:pt idx="271">
                  <c:v>1.3589066838313633E-4</c:v>
                </c:pt>
                <c:pt idx="272">
                  <c:v>1.8536708555292108E-3</c:v>
                </c:pt>
                <c:pt idx="273">
                  <c:v>-2.8855370535237297E-2</c:v>
                </c:pt>
                <c:pt idx="274">
                  <c:v>-1.2955260398268378E-2</c:v>
                </c:pt>
                <c:pt idx="275">
                  <c:v>-4.1743320714876251E-3</c:v>
                </c:pt>
                <c:pt idx="276">
                  <c:v>-9.8535628339655491E-3</c:v>
                </c:pt>
                <c:pt idx="277">
                  <c:v>-6.7079728302853461E-3</c:v>
                </c:pt>
                <c:pt idx="278">
                  <c:v>-1.4137737518030502E-4</c:v>
                </c:pt>
                <c:pt idx="279">
                  <c:v>1.7433067990790579E-4</c:v>
                </c:pt>
                <c:pt idx="280">
                  <c:v>3.4370988285839152E-4</c:v>
                </c:pt>
                <c:pt idx="281">
                  <c:v>-9.0177194316975687E-3</c:v>
                </c:pt>
                <c:pt idx="282">
                  <c:v>-1.1619598623214041E-4</c:v>
                </c:pt>
                <c:pt idx="283">
                  <c:v>2.6235209715349319E-4</c:v>
                </c:pt>
                <c:pt idx="284">
                  <c:v>8.0649814648788647E-5</c:v>
                </c:pt>
                <c:pt idx="285">
                  <c:v>2.3353075675694999E-4</c:v>
                </c:pt>
                <c:pt idx="286">
                  <c:v>2.5640610494089885E-3</c:v>
                </c:pt>
                <c:pt idx="287">
                  <c:v>8.9826227138002448E-5</c:v>
                </c:pt>
                <c:pt idx="288">
                  <c:v>-2.0893849543400844E-2</c:v>
                </c:pt>
                <c:pt idx="289">
                  <c:v>1.9718830696802557E-3</c:v>
                </c:pt>
                <c:pt idx="290">
                  <c:v>-1.4615611092136401E-4</c:v>
                </c:pt>
                <c:pt idx="291">
                  <c:v>1.1356892958648895E-3</c:v>
                </c:pt>
                <c:pt idx="292">
                  <c:v>-1.0450934114043771E-2</c:v>
                </c:pt>
                <c:pt idx="293">
                  <c:v>2.3959285365130444E-3</c:v>
                </c:pt>
                <c:pt idx="294">
                  <c:v>1.3225558568019816E-3</c:v>
                </c:pt>
                <c:pt idx="295">
                  <c:v>3.6243542167579442E-4</c:v>
                </c:pt>
                <c:pt idx="296">
                  <c:v>4.896636561053996E-3</c:v>
                </c:pt>
                <c:pt idx="297">
                  <c:v>4.2469004649924938E-3</c:v>
                </c:pt>
                <c:pt idx="298">
                  <c:v>1.8418648756276723E-3</c:v>
                </c:pt>
                <c:pt idx="299">
                  <c:v>3.1982865586896981E-3</c:v>
                </c:pt>
                <c:pt idx="300">
                  <c:v>5.5389996440798131E-3</c:v>
                </c:pt>
                <c:pt idx="301">
                  <c:v>-3.6618761945147028E-4</c:v>
                </c:pt>
                <c:pt idx="302">
                  <c:v>4.3154042869740842E-4</c:v>
                </c:pt>
                <c:pt idx="303">
                  <c:v>3.6299954139068641E-2</c:v>
                </c:pt>
                <c:pt idx="304">
                  <c:v>-4.0486260246999882E-2</c:v>
                </c:pt>
                <c:pt idx="305">
                  <c:v>5.0669929754835422E-3</c:v>
                </c:pt>
                <c:pt idx="306">
                  <c:v>-5.1128997178586525E-3</c:v>
                </c:pt>
                <c:pt idx="307">
                  <c:v>1.2177798335291989E-2</c:v>
                </c:pt>
                <c:pt idx="308">
                  <c:v>-2.4842220408048563E-4</c:v>
                </c:pt>
                <c:pt idx="309">
                  <c:v>-1.7503571241290566E-3</c:v>
                </c:pt>
                <c:pt idx="310">
                  <c:v>-9.3119341626580407E-3</c:v>
                </c:pt>
                <c:pt idx="311">
                  <c:v>-3.2506810188208763E-3</c:v>
                </c:pt>
                <c:pt idx="312">
                  <c:v>6.0103757610799492E-3</c:v>
                </c:pt>
                <c:pt idx="313">
                  <c:v>-4.4399283283295139E-3</c:v>
                </c:pt>
                <c:pt idx="314">
                  <c:v>2.2746303750244999E-3</c:v>
                </c:pt>
                <c:pt idx="315">
                  <c:v>1.1054990611925124E-2</c:v>
                </c:pt>
                <c:pt idx="316">
                  <c:v>-2.3891410632764669E-2</c:v>
                </c:pt>
                <c:pt idx="317">
                  <c:v>-1.5363552872950175E-3</c:v>
                </c:pt>
                <c:pt idx="318">
                  <c:v>-1.0506106409817069E-2</c:v>
                </c:pt>
                <c:pt idx="319">
                  <c:v>-2.0763766447156897E-3</c:v>
                </c:pt>
                <c:pt idx="320">
                  <c:v>-4.1765316946462154E-3</c:v>
                </c:pt>
                <c:pt idx="321">
                  <c:v>-5.8884073402425095E-3</c:v>
                </c:pt>
                <c:pt idx="322">
                  <c:v>1.6440736046917311E-2</c:v>
                </c:pt>
                <c:pt idx="323">
                  <c:v>-3.2255010687916299E-3</c:v>
                </c:pt>
                <c:pt idx="324">
                  <c:v>-8.8536165090624518E-3</c:v>
                </c:pt>
                <c:pt idx="325">
                  <c:v>-2.1998852430560812E-2</c:v>
                </c:pt>
                <c:pt idx="326">
                  <c:v>-3.4622993047598834E-3</c:v>
                </c:pt>
                <c:pt idx="327">
                  <c:v>3.5694354781788735E-2</c:v>
                </c:pt>
                <c:pt idx="328">
                  <c:v>9.7325224459203739E-3</c:v>
                </c:pt>
                <c:pt idx="329">
                  <c:v>-1.00100058254511E-3</c:v>
                </c:pt>
                <c:pt idx="330">
                  <c:v>-5.1032809902927462E-3</c:v>
                </c:pt>
                <c:pt idx="331">
                  <c:v>4.268222732123449E-3</c:v>
                </c:pt>
                <c:pt idx="332">
                  <c:v>-6.1074585934552236E-4</c:v>
                </c:pt>
                <c:pt idx="333">
                  <c:v>-9.1549487246769569E-3</c:v>
                </c:pt>
                <c:pt idx="334">
                  <c:v>-1.8862319911760822E-2</c:v>
                </c:pt>
                <c:pt idx="335">
                  <c:v>-1.9804590112970292E-3</c:v>
                </c:pt>
                <c:pt idx="336">
                  <c:v>7.0905455135408726E-4</c:v>
                </c:pt>
                <c:pt idx="337">
                  <c:v>-1.6883004272849073E-2</c:v>
                </c:pt>
                <c:pt idx="338">
                  <c:v>-1.0649170143983003E-3</c:v>
                </c:pt>
                <c:pt idx="339">
                  <c:v>-2.2233953613660214E-2</c:v>
                </c:pt>
                <c:pt idx="340">
                  <c:v>5.2519234549175424E-3</c:v>
                </c:pt>
                <c:pt idx="341">
                  <c:v>6.3451305699487185E-3</c:v>
                </c:pt>
                <c:pt idx="342">
                  <c:v>-1.4414546828551198E-2</c:v>
                </c:pt>
                <c:pt idx="343">
                  <c:v>-1.6759867708092357E-2</c:v>
                </c:pt>
                <c:pt idx="344">
                  <c:v>-6.9326978795792591E-3</c:v>
                </c:pt>
                <c:pt idx="345">
                  <c:v>1.9922788538907336E-2</c:v>
                </c:pt>
                <c:pt idx="346">
                  <c:v>8.5756613523583436E-2</c:v>
                </c:pt>
                <c:pt idx="347">
                  <c:v>1.6649854799925878E-2</c:v>
                </c:pt>
                <c:pt idx="348">
                  <c:v>-2.7583020894638481E-2</c:v>
                </c:pt>
                <c:pt idx="349">
                  <c:v>1.1913124366328751E-2</c:v>
                </c:pt>
                <c:pt idx="350">
                  <c:v>-8.8274959456947487E-4</c:v>
                </c:pt>
                <c:pt idx="351">
                  <c:v>6.9904621953080261E-3</c:v>
                </c:pt>
                <c:pt idx="352">
                  <c:v>-4.3442825354416455E-3</c:v>
                </c:pt>
                <c:pt idx="353">
                  <c:v>-2.3183526717770086E-2</c:v>
                </c:pt>
                <c:pt idx="354">
                  <c:v>-5.3619456236090948E-3</c:v>
                </c:pt>
                <c:pt idx="355">
                  <c:v>1.0996220894512669E-3</c:v>
                </c:pt>
                <c:pt idx="356">
                  <c:v>2.9904125359179082E-2</c:v>
                </c:pt>
                <c:pt idx="357">
                  <c:v>-2.4528675974255033E-4</c:v>
                </c:pt>
                <c:pt idx="358">
                  <c:v>-8.5766823553730962E-4</c:v>
                </c:pt>
                <c:pt idx="359">
                  <c:v>6.3622089623266594E-4</c:v>
                </c:pt>
                <c:pt idx="360">
                  <c:v>-7.2925848675645577E-4</c:v>
                </c:pt>
                <c:pt idx="361">
                  <c:v>-1.1304758101859191E-3</c:v>
                </c:pt>
                <c:pt idx="362">
                  <c:v>7.8169488486112132E-4</c:v>
                </c:pt>
                <c:pt idx="363">
                  <c:v>-1.0021510710390637E-3</c:v>
                </c:pt>
                <c:pt idx="364">
                  <c:v>4.4505935403843242E-3</c:v>
                </c:pt>
                <c:pt idx="365">
                  <c:v>-7.763632937730891E-2</c:v>
                </c:pt>
                <c:pt idx="366">
                  <c:v>5.665829182527148E-4</c:v>
                </c:pt>
                <c:pt idx="367">
                  <c:v>8.4700853065005452E-2</c:v>
                </c:pt>
                <c:pt idx="368">
                  <c:v>1.611063840081816E-2</c:v>
                </c:pt>
                <c:pt idx="369">
                  <c:v>4.3625014828016454E-3</c:v>
                </c:pt>
                <c:pt idx="370">
                  <c:v>-8.9642372616247079E-2</c:v>
                </c:pt>
                <c:pt idx="371">
                  <c:v>-1.4914999783906044E-2</c:v>
                </c:pt>
                <c:pt idx="372">
                  <c:v>1.809308945016746E-3</c:v>
                </c:pt>
                <c:pt idx="373">
                  <c:v>-8.6188975820669186E-2</c:v>
                </c:pt>
                <c:pt idx="374">
                  <c:v>3.5328072437383923E-2</c:v>
                </c:pt>
                <c:pt idx="375">
                  <c:v>5.3018140384283831E-3</c:v>
                </c:pt>
                <c:pt idx="376">
                  <c:v>-0.16092382933955843</c:v>
                </c:pt>
                <c:pt idx="377">
                  <c:v>2.3950756768341384E-2</c:v>
                </c:pt>
                <c:pt idx="378">
                  <c:v>-9.6714978020202222E-3</c:v>
                </c:pt>
                <c:pt idx="379">
                  <c:v>-5.1606023555890871E-3</c:v>
                </c:pt>
                <c:pt idx="380">
                  <c:v>3.2394997890970854E-2</c:v>
                </c:pt>
                <c:pt idx="381">
                  <c:v>-3.4797414891095412E-3</c:v>
                </c:pt>
                <c:pt idx="382">
                  <c:v>3.5157012042053862E-2</c:v>
                </c:pt>
                <c:pt idx="383">
                  <c:v>-9.9754383007698982E-3</c:v>
                </c:pt>
                <c:pt idx="384">
                  <c:v>5.5332270178521531E-4</c:v>
                </c:pt>
                <c:pt idx="385">
                  <c:v>0.18728138932806296</c:v>
                </c:pt>
                <c:pt idx="386">
                  <c:v>-4.4208481202189891E-2</c:v>
                </c:pt>
                <c:pt idx="387">
                  <c:v>-6.3298903413121386E-3</c:v>
                </c:pt>
                <c:pt idx="388">
                  <c:v>-0.11424417579124369</c:v>
                </c:pt>
                <c:pt idx="389">
                  <c:v>-4.0325890248545226E-3</c:v>
                </c:pt>
                <c:pt idx="390">
                  <c:v>-2.9065307171386198E-3</c:v>
                </c:pt>
                <c:pt idx="391">
                  <c:v>3.6096766720901318E-3</c:v>
                </c:pt>
                <c:pt idx="392">
                  <c:v>-3.5464692848275669E-3</c:v>
                </c:pt>
                <c:pt idx="393">
                  <c:v>-5.3928642572314493E-4</c:v>
                </c:pt>
                <c:pt idx="394">
                  <c:v>-4.8139493902926902E-3</c:v>
                </c:pt>
                <c:pt idx="395">
                  <c:v>5.1508188682840112E-3</c:v>
                </c:pt>
                <c:pt idx="396">
                  <c:v>-1.2238394783741992E-3</c:v>
                </c:pt>
                <c:pt idx="397">
                  <c:v>-2.5361828041668755E-2</c:v>
                </c:pt>
                <c:pt idx="398">
                  <c:v>-4.9336528529279555E-2</c:v>
                </c:pt>
                <c:pt idx="399">
                  <c:v>2.2722058381311294E-3</c:v>
                </c:pt>
                <c:pt idx="400">
                  <c:v>4.0994226229637623E-2</c:v>
                </c:pt>
                <c:pt idx="401">
                  <c:v>-8.8681419384795937E-4</c:v>
                </c:pt>
                <c:pt idx="402">
                  <c:v>-2.2543901407573422E-5</c:v>
                </c:pt>
                <c:pt idx="403">
                  <c:v>-1.8434849149393324E-2</c:v>
                </c:pt>
                <c:pt idx="404">
                  <c:v>-1.3589917997822809E-3</c:v>
                </c:pt>
                <c:pt idx="405">
                  <c:v>5.754395140501951E-3</c:v>
                </c:pt>
                <c:pt idx="406">
                  <c:v>1.0791370122618516E-2</c:v>
                </c:pt>
                <c:pt idx="407">
                  <c:v>1.5119000279604512E-2</c:v>
                </c:pt>
                <c:pt idx="408">
                  <c:v>2.7327610256239841E-3</c:v>
                </c:pt>
                <c:pt idx="409">
                  <c:v>-3.5307847748318999E-3</c:v>
                </c:pt>
                <c:pt idx="410">
                  <c:v>-2.6830587036858118E-3</c:v>
                </c:pt>
                <c:pt idx="411">
                  <c:v>-1.0088086368836391E-3</c:v>
                </c:pt>
                <c:pt idx="412">
                  <c:v>-5.2267409675973049E-3</c:v>
                </c:pt>
                <c:pt idx="413">
                  <c:v>2.8998068671071044E-2</c:v>
                </c:pt>
                <c:pt idx="414">
                  <c:v>5.9086983203995435E-4</c:v>
                </c:pt>
              </c:numCache>
            </c:numRef>
          </c:val>
          <c:smooth val="0"/>
          <c:extLst>
            <c:ext xmlns:c16="http://schemas.microsoft.com/office/drawing/2014/chart" uri="{C3380CC4-5D6E-409C-BE32-E72D297353CC}">
              <c16:uniqueId val="{00000000-A7CB-2046-A86F-4CE2BD159DCD}"/>
            </c:ext>
          </c:extLst>
        </c:ser>
        <c:dLbls>
          <c:showLegendKey val="0"/>
          <c:showVal val="0"/>
          <c:showCatName val="0"/>
          <c:showSerName val="0"/>
          <c:showPercent val="0"/>
          <c:showBubbleSize val="0"/>
        </c:dLbls>
        <c:smooth val="0"/>
        <c:axId val="270742656"/>
        <c:axId val="270729664"/>
      </c:lineChart>
      <c:dateAx>
        <c:axId val="270742656"/>
        <c:scaling>
          <c:orientation val="minMax"/>
        </c:scaling>
        <c:delete val="0"/>
        <c:axPos val="b"/>
        <c:numFmt formatCode="m/d/yy" sourceLinked="0"/>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729664"/>
        <c:crossesAt val="-0.5"/>
        <c:auto val="1"/>
        <c:lblOffset val="100"/>
        <c:baseTimeUnit val="days"/>
      </c:dateAx>
      <c:valAx>
        <c:axId val="270729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74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factors!$D$1</c:f>
              <c:strCache>
                <c:ptCount val="1"/>
                <c:pt idx="0">
                  <c:v>Path</c:v>
                </c:pt>
              </c:strCache>
            </c:strRef>
          </c:tx>
          <c:spPr>
            <a:ln w="25400" cap="rnd">
              <a:solidFill>
                <a:schemeClr val="accent1"/>
              </a:solidFill>
              <a:round/>
            </a:ln>
            <a:effectLst/>
          </c:spPr>
          <c:marker>
            <c:symbol val="none"/>
          </c:marker>
          <c:cat>
            <c:numRef>
              <c:f>factors!$A$2:$A$416</c:f>
              <c:numCache>
                <c:formatCode>m/d/yy\ h:mm</c:formatCode>
                <c:ptCount val="415"/>
                <c:pt idx="0">
                  <c:v>35587.458333333336</c:v>
                </c:pt>
                <c:pt idx="1">
                  <c:v>35621.458333333336</c:v>
                </c:pt>
                <c:pt idx="2">
                  <c:v>35649.458333333336</c:v>
                </c:pt>
                <c:pt idx="3">
                  <c:v>35655.395833333336</c:v>
                </c:pt>
                <c:pt idx="4">
                  <c:v>35684.458333333336</c:v>
                </c:pt>
                <c:pt idx="5">
                  <c:v>35712.458333333336</c:v>
                </c:pt>
                <c:pt idx="6">
                  <c:v>35740.5</c:v>
                </c:pt>
                <c:pt idx="7">
                  <c:v>35746.4375</c:v>
                </c:pt>
                <c:pt idx="8">
                  <c:v>35768.5</c:v>
                </c:pt>
                <c:pt idx="9">
                  <c:v>35803.5</c:v>
                </c:pt>
                <c:pt idx="10">
                  <c:v>35831.5</c:v>
                </c:pt>
                <c:pt idx="11">
                  <c:v>35837.4375</c:v>
                </c:pt>
                <c:pt idx="12">
                  <c:v>35859.5</c:v>
                </c:pt>
                <c:pt idx="13">
                  <c:v>35894.458333333336</c:v>
                </c:pt>
                <c:pt idx="14">
                  <c:v>35922.458333333336</c:v>
                </c:pt>
                <c:pt idx="15">
                  <c:v>35928.395833333336</c:v>
                </c:pt>
                <c:pt idx="16">
                  <c:v>35950.458333333336</c:v>
                </c:pt>
                <c:pt idx="17">
                  <c:v>36013.458333333336</c:v>
                </c:pt>
                <c:pt idx="18">
                  <c:v>36020.395833333336</c:v>
                </c:pt>
                <c:pt idx="19">
                  <c:v>36048.458333333336</c:v>
                </c:pt>
                <c:pt idx="20">
                  <c:v>36076.458333333336</c:v>
                </c:pt>
                <c:pt idx="21">
                  <c:v>36104.5</c:v>
                </c:pt>
                <c:pt idx="22">
                  <c:v>36110.4375</c:v>
                </c:pt>
                <c:pt idx="23">
                  <c:v>36139.5</c:v>
                </c:pt>
                <c:pt idx="24">
                  <c:v>36167.5</c:v>
                </c:pt>
                <c:pt idx="25">
                  <c:v>36195.5</c:v>
                </c:pt>
                <c:pt idx="26">
                  <c:v>36201.4375</c:v>
                </c:pt>
                <c:pt idx="27">
                  <c:v>36222.5</c:v>
                </c:pt>
                <c:pt idx="28">
                  <c:v>36258.458333333336</c:v>
                </c:pt>
                <c:pt idx="29">
                  <c:v>36286.458333333336</c:v>
                </c:pt>
                <c:pt idx="30">
                  <c:v>36292.395833333336</c:v>
                </c:pt>
                <c:pt idx="31">
                  <c:v>36321.458333333336</c:v>
                </c:pt>
                <c:pt idx="32">
                  <c:v>36349.458333333336</c:v>
                </c:pt>
                <c:pt idx="33">
                  <c:v>36377.458333333336</c:v>
                </c:pt>
                <c:pt idx="34">
                  <c:v>36383.395833333336</c:v>
                </c:pt>
                <c:pt idx="35">
                  <c:v>36411.458333333336</c:v>
                </c:pt>
                <c:pt idx="36">
                  <c:v>36440.458333333336</c:v>
                </c:pt>
                <c:pt idx="37">
                  <c:v>36468.5</c:v>
                </c:pt>
                <c:pt idx="38">
                  <c:v>36474.4375</c:v>
                </c:pt>
                <c:pt idx="39">
                  <c:v>36503.5</c:v>
                </c:pt>
                <c:pt idx="40">
                  <c:v>36538.5</c:v>
                </c:pt>
                <c:pt idx="41">
                  <c:v>36566.5</c:v>
                </c:pt>
                <c:pt idx="42">
                  <c:v>36573.4375</c:v>
                </c:pt>
                <c:pt idx="43">
                  <c:v>36594.5</c:v>
                </c:pt>
                <c:pt idx="44">
                  <c:v>36622.458333333336</c:v>
                </c:pt>
                <c:pt idx="45">
                  <c:v>36650.458333333336</c:v>
                </c:pt>
                <c:pt idx="46">
                  <c:v>36656.395833333336</c:v>
                </c:pt>
                <c:pt idx="47">
                  <c:v>36684.458333333336</c:v>
                </c:pt>
                <c:pt idx="48">
                  <c:v>36713.458333333336</c:v>
                </c:pt>
                <c:pt idx="49">
                  <c:v>36741.458333333336</c:v>
                </c:pt>
                <c:pt idx="50">
                  <c:v>36747.395833333336</c:v>
                </c:pt>
                <c:pt idx="51">
                  <c:v>36776.458333333336</c:v>
                </c:pt>
                <c:pt idx="52">
                  <c:v>36804.458333333336</c:v>
                </c:pt>
                <c:pt idx="53">
                  <c:v>36839.5</c:v>
                </c:pt>
                <c:pt idx="54">
                  <c:v>36846.4375</c:v>
                </c:pt>
                <c:pt idx="55">
                  <c:v>36867.5</c:v>
                </c:pt>
                <c:pt idx="56">
                  <c:v>36902.5</c:v>
                </c:pt>
                <c:pt idx="57">
                  <c:v>36930.5</c:v>
                </c:pt>
                <c:pt idx="58">
                  <c:v>36936.4375</c:v>
                </c:pt>
                <c:pt idx="59">
                  <c:v>36986.458333333336</c:v>
                </c:pt>
                <c:pt idx="60">
                  <c:v>37021.458333333336</c:v>
                </c:pt>
                <c:pt idx="61">
                  <c:v>37027.395833333336</c:v>
                </c:pt>
                <c:pt idx="62">
                  <c:v>37048.458333333336</c:v>
                </c:pt>
                <c:pt idx="63">
                  <c:v>37077.458333333336</c:v>
                </c:pt>
                <c:pt idx="64">
                  <c:v>37105.458333333336</c:v>
                </c:pt>
                <c:pt idx="65">
                  <c:v>37111.395833333336</c:v>
                </c:pt>
                <c:pt idx="66">
                  <c:v>37140.458333333336</c:v>
                </c:pt>
                <c:pt idx="67">
                  <c:v>37152.458333333336</c:v>
                </c:pt>
                <c:pt idx="68">
                  <c:v>37168.458333333336</c:v>
                </c:pt>
                <c:pt idx="69">
                  <c:v>37203.5</c:v>
                </c:pt>
                <c:pt idx="70">
                  <c:v>37209.4375</c:v>
                </c:pt>
                <c:pt idx="71">
                  <c:v>37230.5</c:v>
                </c:pt>
                <c:pt idx="72">
                  <c:v>37266.5</c:v>
                </c:pt>
                <c:pt idx="73">
                  <c:v>37294.5</c:v>
                </c:pt>
                <c:pt idx="74">
                  <c:v>37300.4375</c:v>
                </c:pt>
                <c:pt idx="75">
                  <c:v>37322.5</c:v>
                </c:pt>
                <c:pt idx="76">
                  <c:v>37350.458333333336</c:v>
                </c:pt>
                <c:pt idx="77">
                  <c:v>37385.458333333336</c:v>
                </c:pt>
                <c:pt idx="78">
                  <c:v>37391.395833333336</c:v>
                </c:pt>
                <c:pt idx="79">
                  <c:v>37413.458333333336</c:v>
                </c:pt>
                <c:pt idx="80">
                  <c:v>37441.458333333336</c:v>
                </c:pt>
                <c:pt idx="81">
                  <c:v>37469.458333333336</c:v>
                </c:pt>
                <c:pt idx="82">
                  <c:v>37475.395833333336</c:v>
                </c:pt>
                <c:pt idx="83">
                  <c:v>37504.458333333336</c:v>
                </c:pt>
                <c:pt idx="84">
                  <c:v>37539.458333333336</c:v>
                </c:pt>
                <c:pt idx="85">
                  <c:v>37567.5</c:v>
                </c:pt>
                <c:pt idx="86">
                  <c:v>37573.4375</c:v>
                </c:pt>
                <c:pt idx="87">
                  <c:v>37595.5</c:v>
                </c:pt>
                <c:pt idx="88">
                  <c:v>37630.5</c:v>
                </c:pt>
                <c:pt idx="89">
                  <c:v>37658.5</c:v>
                </c:pt>
                <c:pt idx="90">
                  <c:v>37664.4375</c:v>
                </c:pt>
                <c:pt idx="91">
                  <c:v>37686.5</c:v>
                </c:pt>
                <c:pt idx="92">
                  <c:v>37749.458333333336</c:v>
                </c:pt>
                <c:pt idx="93">
                  <c:v>37756.395833333336</c:v>
                </c:pt>
                <c:pt idx="94">
                  <c:v>37777.458333333336</c:v>
                </c:pt>
                <c:pt idx="95">
                  <c:v>37812.458333333336</c:v>
                </c:pt>
                <c:pt idx="96">
                  <c:v>37840.458333333336</c:v>
                </c:pt>
                <c:pt idx="97">
                  <c:v>37846.395833333336</c:v>
                </c:pt>
                <c:pt idx="98">
                  <c:v>37868.458333333336</c:v>
                </c:pt>
                <c:pt idx="99">
                  <c:v>37903.458333333336</c:v>
                </c:pt>
                <c:pt idx="100">
                  <c:v>37931.5</c:v>
                </c:pt>
                <c:pt idx="101">
                  <c:v>37937.4375</c:v>
                </c:pt>
                <c:pt idx="102">
                  <c:v>37959.5</c:v>
                </c:pt>
                <c:pt idx="103">
                  <c:v>37994.5</c:v>
                </c:pt>
                <c:pt idx="104">
                  <c:v>38022.5</c:v>
                </c:pt>
                <c:pt idx="105">
                  <c:v>38028.4375</c:v>
                </c:pt>
                <c:pt idx="106">
                  <c:v>38050.5</c:v>
                </c:pt>
                <c:pt idx="107">
                  <c:v>38085.458333333336</c:v>
                </c:pt>
                <c:pt idx="108">
                  <c:v>38113.458333333336</c:v>
                </c:pt>
                <c:pt idx="109">
                  <c:v>38119.395833333336</c:v>
                </c:pt>
                <c:pt idx="110">
                  <c:v>38148.458333333336</c:v>
                </c:pt>
                <c:pt idx="111">
                  <c:v>38176.458333333336</c:v>
                </c:pt>
                <c:pt idx="112">
                  <c:v>38204.458333333336</c:v>
                </c:pt>
                <c:pt idx="113">
                  <c:v>38210.395833333336</c:v>
                </c:pt>
                <c:pt idx="114">
                  <c:v>38239.458333333336</c:v>
                </c:pt>
                <c:pt idx="115">
                  <c:v>38267.458333333336</c:v>
                </c:pt>
                <c:pt idx="116">
                  <c:v>38295.5</c:v>
                </c:pt>
                <c:pt idx="117">
                  <c:v>38301.4375</c:v>
                </c:pt>
                <c:pt idx="118">
                  <c:v>38330.5</c:v>
                </c:pt>
                <c:pt idx="119">
                  <c:v>38365.5</c:v>
                </c:pt>
                <c:pt idx="120">
                  <c:v>38393.5</c:v>
                </c:pt>
                <c:pt idx="121">
                  <c:v>38399.4375</c:v>
                </c:pt>
                <c:pt idx="122">
                  <c:v>38421.5</c:v>
                </c:pt>
                <c:pt idx="123">
                  <c:v>38449.458333333336</c:v>
                </c:pt>
                <c:pt idx="124">
                  <c:v>38481.458333333336</c:v>
                </c:pt>
                <c:pt idx="125">
                  <c:v>38483.395833333336</c:v>
                </c:pt>
                <c:pt idx="126">
                  <c:v>38512.458333333336</c:v>
                </c:pt>
                <c:pt idx="127">
                  <c:v>38540.458333333336</c:v>
                </c:pt>
                <c:pt idx="128">
                  <c:v>38568.458333333336</c:v>
                </c:pt>
                <c:pt idx="129">
                  <c:v>38574.395833333336</c:v>
                </c:pt>
                <c:pt idx="130">
                  <c:v>38603.458333333336</c:v>
                </c:pt>
                <c:pt idx="131">
                  <c:v>38631.458333333336</c:v>
                </c:pt>
                <c:pt idx="132">
                  <c:v>38666.5</c:v>
                </c:pt>
                <c:pt idx="133">
                  <c:v>38672.4375</c:v>
                </c:pt>
                <c:pt idx="134">
                  <c:v>38694.5</c:v>
                </c:pt>
                <c:pt idx="135">
                  <c:v>38729.5</c:v>
                </c:pt>
                <c:pt idx="136">
                  <c:v>38757.5</c:v>
                </c:pt>
                <c:pt idx="137">
                  <c:v>38763.4375</c:v>
                </c:pt>
                <c:pt idx="138">
                  <c:v>38785.5</c:v>
                </c:pt>
                <c:pt idx="139">
                  <c:v>38813.458333333336</c:v>
                </c:pt>
                <c:pt idx="140">
                  <c:v>38841.458333333336</c:v>
                </c:pt>
                <c:pt idx="141">
                  <c:v>38847.395833333336</c:v>
                </c:pt>
                <c:pt idx="142">
                  <c:v>38876.458333333336</c:v>
                </c:pt>
                <c:pt idx="143">
                  <c:v>38904.458333333336</c:v>
                </c:pt>
                <c:pt idx="144">
                  <c:v>38932.458333333336</c:v>
                </c:pt>
                <c:pt idx="145">
                  <c:v>38938.395833333336</c:v>
                </c:pt>
                <c:pt idx="146">
                  <c:v>38967.458333333336</c:v>
                </c:pt>
                <c:pt idx="147">
                  <c:v>38995.458333333336</c:v>
                </c:pt>
                <c:pt idx="148">
                  <c:v>39030.5</c:v>
                </c:pt>
                <c:pt idx="149">
                  <c:v>39036.4375</c:v>
                </c:pt>
                <c:pt idx="150">
                  <c:v>39058.5</c:v>
                </c:pt>
                <c:pt idx="151">
                  <c:v>39093.5</c:v>
                </c:pt>
                <c:pt idx="152">
                  <c:v>39121.5</c:v>
                </c:pt>
                <c:pt idx="153">
                  <c:v>39127.4375</c:v>
                </c:pt>
                <c:pt idx="154">
                  <c:v>39149.5</c:v>
                </c:pt>
                <c:pt idx="155">
                  <c:v>39177.458333333336</c:v>
                </c:pt>
                <c:pt idx="156">
                  <c:v>39212.458333333336</c:v>
                </c:pt>
                <c:pt idx="157">
                  <c:v>39218.395833333336</c:v>
                </c:pt>
                <c:pt idx="158">
                  <c:v>39240.458333333336</c:v>
                </c:pt>
                <c:pt idx="159">
                  <c:v>39268.458333333336</c:v>
                </c:pt>
                <c:pt idx="160">
                  <c:v>39296.458333333336</c:v>
                </c:pt>
                <c:pt idx="161">
                  <c:v>39302.395833333336</c:v>
                </c:pt>
                <c:pt idx="162">
                  <c:v>39331.458333333336</c:v>
                </c:pt>
                <c:pt idx="163">
                  <c:v>39359.458333333336</c:v>
                </c:pt>
                <c:pt idx="164">
                  <c:v>39394.5</c:v>
                </c:pt>
                <c:pt idx="165">
                  <c:v>39400.4375</c:v>
                </c:pt>
                <c:pt idx="166">
                  <c:v>39422.5</c:v>
                </c:pt>
                <c:pt idx="167">
                  <c:v>39457.5</c:v>
                </c:pt>
                <c:pt idx="168">
                  <c:v>39485.5</c:v>
                </c:pt>
                <c:pt idx="169">
                  <c:v>39491.4375</c:v>
                </c:pt>
                <c:pt idx="170">
                  <c:v>39513.5</c:v>
                </c:pt>
                <c:pt idx="171">
                  <c:v>39548.458333333336</c:v>
                </c:pt>
                <c:pt idx="172">
                  <c:v>39576.458333333336</c:v>
                </c:pt>
                <c:pt idx="173">
                  <c:v>39582.395833333336</c:v>
                </c:pt>
                <c:pt idx="174">
                  <c:v>39604.458333333336</c:v>
                </c:pt>
                <c:pt idx="175">
                  <c:v>39639.458333333336</c:v>
                </c:pt>
                <c:pt idx="176">
                  <c:v>39667.458333333336</c:v>
                </c:pt>
                <c:pt idx="177">
                  <c:v>39673.395833333336</c:v>
                </c:pt>
                <c:pt idx="178">
                  <c:v>39695.458333333336</c:v>
                </c:pt>
                <c:pt idx="179">
                  <c:v>39729.458333333336</c:v>
                </c:pt>
                <c:pt idx="180">
                  <c:v>39758.5</c:v>
                </c:pt>
                <c:pt idx="181">
                  <c:v>39764.4375</c:v>
                </c:pt>
                <c:pt idx="182">
                  <c:v>39786.5</c:v>
                </c:pt>
                <c:pt idx="183">
                  <c:v>39821.5</c:v>
                </c:pt>
                <c:pt idx="184">
                  <c:v>39849.5</c:v>
                </c:pt>
                <c:pt idx="185">
                  <c:v>39855.4375</c:v>
                </c:pt>
                <c:pt idx="186">
                  <c:v>39877.5</c:v>
                </c:pt>
                <c:pt idx="187">
                  <c:v>39912.458333333336</c:v>
                </c:pt>
                <c:pt idx="188">
                  <c:v>39940.458333333336</c:v>
                </c:pt>
                <c:pt idx="189">
                  <c:v>39946.395833333336</c:v>
                </c:pt>
                <c:pt idx="190">
                  <c:v>39968.458333333336</c:v>
                </c:pt>
                <c:pt idx="191">
                  <c:v>40003.458333333336</c:v>
                </c:pt>
                <c:pt idx="192">
                  <c:v>40031.458333333336</c:v>
                </c:pt>
                <c:pt idx="193">
                  <c:v>40037.395833333336</c:v>
                </c:pt>
                <c:pt idx="194">
                  <c:v>40066.458333333336</c:v>
                </c:pt>
                <c:pt idx="195">
                  <c:v>40094.458333333336</c:v>
                </c:pt>
                <c:pt idx="196">
                  <c:v>40122.5</c:v>
                </c:pt>
                <c:pt idx="197">
                  <c:v>40128.4375</c:v>
                </c:pt>
                <c:pt idx="198">
                  <c:v>40157.5</c:v>
                </c:pt>
                <c:pt idx="199">
                  <c:v>40185.5</c:v>
                </c:pt>
                <c:pt idx="200">
                  <c:v>40213.5</c:v>
                </c:pt>
                <c:pt idx="201">
                  <c:v>40219.4375</c:v>
                </c:pt>
                <c:pt idx="202">
                  <c:v>40241.5</c:v>
                </c:pt>
                <c:pt idx="203">
                  <c:v>40276.458333333336</c:v>
                </c:pt>
                <c:pt idx="204">
                  <c:v>40308.458333333336</c:v>
                </c:pt>
                <c:pt idx="205">
                  <c:v>40310.395833333336</c:v>
                </c:pt>
                <c:pt idx="206">
                  <c:v>40339.458333333336</c:v>
                </c:pt>
                <c:pt idx="207">
                  <c:v>40367.458333333336</c:v>
                </c:pt>
                <c:pt idx="208">
                  <c:v>40395.458333333336</c:v>
                </c:pt>
                <c:pt idx="209">
                  <c:v>40401.395833333336</c:v>
                </c:pt>
                <c:pt idx="210">
                  <c:v>40430.458333333336</c:v>
                </c:pt>
                <c:pt idx="211">
                  <c:v>40458.458333333336</c:v>
                </c:pt>
                <c:pt idx="212">
                  <c:v>40486.5</c:v>
                </c:pt>
                <c:pt idx="213">
                  <c:v>40492.4375</c:v>
                </c:pt>
                <c:pt idx="214">
                  <c:v>40521.5</c:v>
                </c:pt>
                <c:pt idx="215">
                  <c:v>40556.5</c:v>
                </c:pt>
                <c:pt idx="216">
                  <c:v>40584.5</c:v>
                </c:pt>
                <c:pt idx="217">
                  <c:v>40590.4375</c:v>
                </c:pt>
                <c:pt idx="218">
                  <c:v>40612.5</c:v>
                </c:pt>
                <c:pt idx="219">
                  <c:v>40640.458333333336</c:v>
                </c:pt>
                <c:pt idx="220">
                  <c:v>40668.458333333336</c:v>
                </c:pt>
                <c:pt idx="221">
                  <c:v>40674.395833333336</c:v>
                </c:pt>
                <c:pt idx="222">
                  <c:v>40703.458333333336</c:v>
                </c:pt>
                <c:pt idx="223">
                  <c:v>40731.458333333336</c:v>
                </c:pt>
                <c:pt idx="224">
                  <c:v>40759.458333333336</c:v>
                </c:pt>
                <c:pt idx="225">
                  <c:v>40765.395833333336</c:v>
                </c:pt>
                <c:pt idx="226">
                  <c:v>40794.458333333336</c:v>
                </c:pt>
                <c:pt idx="227">
                  <c:v>40822.458333333336</c:v>
                </c:pt>
                <c:pt idx="228">
                  <c:v>40857.5</c:v>
                </c:pt>
                <c:pt idx="229">
                  <c:v>40863.4375</c:v>
                </c:pt>
                <c:pt idx="230">
                  <c:v>40885.5</c:v>
                </c:pt>
                <c:pt idx="231">
                  <c:v>40920.5</c:v>
                </c:pt>
                <c:pt idx="232">
                  <c:v>40948.5</c:v>
                </c:pt>
                <c:pt idx="233">
                  <c:v>40954.4375</c:v>
                </c:pt>
                <c:pt idx="234">
                  <c:v>40976.5</c:v>
                </c:pt>
                <c:pt idx="235">
                  <c:v>41004.458333333336</c:v>
                </c:pt>
                <c:pt idx="236">
                  <c:v>41039.458333333336</c:v>
                </c:pt>
                <c:pt idx="237">
                  <c:v>41045.395833333336</c:v>
                </c:pt>
                <c:pt idx="238">
                  <c:v>41067.458333333336</c:v>
                </c:pt>
                <c:pt idx="239">
                  <c:v>41095.458333333336</c:v>
                </c:pt>
                <c:pt idx="240">
                  <c:v>41123.458333333336</c:v>
                </c:pt>
                <c:pt idx="241">
                  <c:v>41129.395833333336</c:v>
                </c:pt>
                <c:pt idx="242">
                  <c:v>41158.458333333336</c:v>
                </c:pt>
                <c:pt idx="243">
                  <c:v>41186.458333333336</c:v>
                </c:pt>
                <c:pt idx="244">
                  <c:v>41221.5</c:v>
                </c:pt>
                <c:pt idx="245">
                  <c:v>41227.4375</c:v>
                </c:pt>
                <c:pt idx="246">
                  <c:v>41249.5</c:v>
                </c:pt>
                <c:pt idx="247">
                  <c:v>41284.5</c:v>
                </c:pt>
                <c:pt idx="248">
                  <c:v>41312.5</c:v>
                </c:pt>
                <c:pt idx="249">
                  <c:v>41318.4375</c:v>
                </c:pt>
                <c:pt idx="250">
                  <c:v>41340.5</c:v>
                </c:pt>
                <c:pt idx="251">
                  <c:v>41368.458333333336</c:v>
                </c:pt>
                <c:pt idx="252">
                  <c:v>41403.458333333336</c:v>
                </c:pt>
                <c:pt idx="253">
                  <c:v>41409.395833333336</c:v>
                </c:pt>
                <c:pt idx="254">
                  <c:v>41431.458333333336</c:v>
                </c:pt>
                <c:pt idx="255">
                  <c:v>41459.458333333336</c:v>
                </c:pt>
                <c:pt idx="256">
                  <c:v>41487.458333333336</c:v>
                </c:pt>
                <c:pt idx="257">
                  <c:v>41493.395833333336</c:v>
                </c:pt>
                <c:pt idx="258">
                  <c:v>41522.458333333336</c:v>
                </c:pt>
                <c:pt idx="259">
                  <c:v>41557.458333333336</c:v>
                </c:pt>
                <c:pt idx="260">
                  <c:v>41585.5</c:v>
                </c:pt>
                <c:pt idx="261">
                  <c:v>41591.4375</c:v>
                </c:pt>
                <c:pt idx="262">
                  <c:v>41613.5</c:v>
                </c:pt>
                <c:pt idx="263">
                  <c:v>41648.5</c:v>
                </c:pt>
                <c:pt idx="264">
                  <c:v>41676.5</c:v>
                </c:pt>
                <c:pt idx="265">
                  <c:v>41682.4375</c:v>
                </c:pt>
                <c:pt idx="266">
                  <c:v>41704.5</c:v>
                </c:pt>
                <c:pt idx="267">
                  <c:v>41739.458333333336</c:v>
                </c:pt>
                <c:pt idx="268">
                  <c:v>41767.458333333336</c:v>
                </c:pt>
                <c:pt idx="269">
                  <c:v>41773.395833333336</c:v>
                </c:pt>
                <c:pt idx="270">
                  <c:v>41795.458333333336</c:v>
                </c:pt>
                <c:pt idx="271">
                  <c:v>41830.458333333336</c:v>
                </c:pt>
                <c:pt idx="272">
                  <c:v>41858.458333333336</c:v>
                </c:pt>
                <c:pt idx="273">
                  <c:v>41864.395833333336</c:v>
                </c:pt>
                <c:pt idx="274">
                  <c:v>41886.458333333336</c:v>
                </c:pt>
                <c:pt idx="275">
                  <c:v>41921.458333333336</c:v>
                </c:pt>
                <c:pt idx="276">
                  <c:v>41949.5</c:v>
                </c:pt>
                <c:pt idx="277">
                  <c:v>41955.4375</c:v>
                </c:pt>
                <c:pt idx="278">
                  <c:v>41977.5</c:v>
                </c:pt>
                <c:pt idx="279">
                  <c:v>42012.5</c:v>
                </c:pt>
                <c:pt idx="280">
                  <c:v>42040.5</c:v>
                </c:pt>
                <c:pt idx="281">
                  <c:v>42047.4375</c:v>
                </c:pt>
                <c:pt idx="282">
                  <c:v>42068.5</c:v>
                </c:pt>
                <c:pt idx="283">
                  <c:v>42103.458333333336</c:v>
                </c:pt>
                <c:pt idx="284">
                  <c:v>42135.458333333336</c:v>
                </c:pt>
                <c:pt idx="285">
                  <c:v>42137.395833333336</c:v>
                </c:pt>
                <c:pt idx="286">
                  <c:v>42159.458333333336</c:v>
                </c:pt>
                <c:pt idx="287">
                  <c:v>42194.458333333336</c:v>
                </c:pt>
                <c:pt idx="288">
                  <c:v>42222.458333333336</c:v>
                </c:pt>
                <c:pt idx="289">
                  <c:v>42222.489583333336</c:v>
                </c:pt>
                <c:pt idx="290">
                  <c:v>42257.458333333336</c:v>
                </c:pt>
                <c:pt idx="291">
                  <c:v>42285.458333333336</c:v>
                </c:pt>
                <c:pt idx="292">
                  <c:v>42313.5</c:v>
                </c:pt>
                <c:pt idx="293">
                  <c:v>42313.53125</c:v>
                </c:pt>
                <c:pt idx="294">
                  <c:v>42348.5</c:v>
                </c:pt>
                <c:pt idx="295">
                  <c:v>42383.5</c:v>
                </c:pt>
                <c:pt idx="296">
                  <c:v>42404.5</c:v>
                </c:pt>
                <c:pt idx="297">
                  <c:v>42404.520833333336</c:v>
                </c:pt>
                <c:pt idx="298">
                  <c:v>42446.5</c:v>
                </c:pt>
                <c:pt idx="299">
                  <c:v>42474.458333333336</c:v>
                </c:pt>
                <c:pt idx="300">
                  <c:v>42502.458333333336</c:v>
                </c:pt>
                <c:pt idx="301">
                  <c:v>42502.479166666664</c:v>
                </c:pt>
                <c:pt idx="302">
                  <c:v>42537.458333333336</c:v>
                </c:pt>
                <c:pt idx="303">
                  <c:v>42565.458333333336</c:v>
                </c:pt>
                <c:pt idx="304">
                  <c:v>42586.458333333336</c:v>
                </c:pt>
                <c:pt idx="305">
                  <c:v>42586.479166666664</c:v>
                </c:pt>
                <c:pt idx="306">
                  <c:v>42628.458333333336</c:v>
                </c:pt>
                <c:pt idx="307">
                  <c:v>42677.5</c:v>
                </c:pt>
                <c:pt idx="308">
                  <c:v>42677.520833333336</c:v>
                </c:pt>
                <c:pt idx="309">
                  <c:v>42719.5</c:v>
                </c:pt>
                <c:pt idx="310">
                  <c:v>42768.5</c:v>
                </c:pt>
                <c:pt idx="311">
                  <c:v>42768.520833333336</c:v>
                </c:pt>
                <c:pt idx="312">
                  <c:v>42810.5</c:v>
                </c:pt>
                <c:pt idx="313">
                  <c:v>42866.458333333336</c:v>
                </c:pt>
                <c:pt idx="314">
                  <c:v>42866.479166666664</c:v>
                </c:pt>
                <c:pt idx="315">
                  <c:v>42901.458333333336</c:v>
                </c:pt>
                <c:pt idx="316">
                  <c:v>42950.458333333336</c:v>
                </c:pt>
                <c:pt idx="317">
                  <c:v>42950.479166666664</c:v>
                </c:pt>
                <c:pt idx="318">
                  <c:v>42992.458333333336</c:v>
                </c:pt>
                <c:pt idx="319">
                  <c:v>43041.5</c:v>
                </c:pt>
                <c:pt idx="320">
                  <c:v>43041.520833333336</c:v>
                </c:pt>
                <c:pt idx="321">
                  <c:v>43083.5</c:v>
                </c:pt>
                <c:pt idx="322">
                  <c:v>43139.5</c:v>
                </c:pt>
                <c:pt idx="323">
                  <c:v>43139.520833333336</c:v>
                </c:pt>
                <c:pt idx="324">
                  <c:v>43181.5</c:v>
                </c:pt>
                <c:pt idx="325">
                  <c:v>43230.458333333336</c:v>
                </c:pt>
                <c:pt idx="326">
                  <c:v>43230.479166666664</c:v>
                </c:pt>
                <c:pt idx="327">
                  <c:v>43272.458333333336</c:v>
                </c:pt>
                <c:pt idx="328">
                  <c:v>43314.458333333336</c:v>
                </c:pt>
                <c:pt idx="329">
                  <c:v>43314.479166666664</c:v>
                </c:pt>
                <c:pt idx="330">
                  <c:v>43356.458333333336</c:v>
                </c:pt>
                <c:pt idx="331">
                  <c:v>43405.5</c:v>
                </c:pt>
                <c:pt idx="332">
                  <c:v>43405.520833333336</c:v>
                </c:pt>
                <c:pt idx="333">
                  <c:v>43454.5</c:v>
                </c:pt>
                <c:pt idx="334">
                  <c:v>43503.5</c:v>
                </c:pt>
                <c:pt idx="335">
                  <c:v>43503.520833333336</c:v>
                </c:pt>
                <c:pt idx="336">
                  <c:v>43545.5</c:v>
                </c:pt>
                <c:pt idx="337">
                  <c:v>43587.458333333336</c:v>
                </c:pt>
                <c:pt idx="338">
                  <c:v>43587.479166666664</c:v>
                </c:pt>
                <c:pt idx="339">
                  <c:v>43636.458333333336</c:v>
                </c:pt>
                <c:pt idx="340">
                  <c:v>43678.458333333336</c:v>
                </c:pt>
                <c:pt idx="341">
                  <c:v>43678.479166666664</c:v>
                </c:pt>
                <c:pt idx="342">
                  <c:v>43727.458333333336</c:v>
                </c:pt>
                <c:pt idx="343">
                  <c:v>43776.5</c:v>
                </c:pt>
                <c:pt idx="344">
                  <c:v>43776.520833333336</c:v>
                </c:pt>
                <c:pt idx="345">
                  <c:v>43818.5</c:v>
                </c:pt>
                <c:pt idx="346">
                  <c:v>43860.5</c:v>
                </c:pt>
                <c:pt idx="347">
                  <c:v>43860.520833333336</c:v>
                </c:pt>
                <c:pt idx="348">
                  <c:v>43909.606249999997</c:v>
                </c:pt>
                <c:pt idx="349">
                  <c:v>43916.5</c:v>
                </c:pt>
                <c:pt idx="350">
                  <c:v>43958.3125</c:v>
                </c:pt>
                <c:pt idx="351">
                  <c:v>44000.458333333336</c:v>
                </c:pt>
                <c:pt idx="352">
                  <c:v>44049.3125</c:v>
                </c:pt>
                <c:pt idx="353">
                  <c:v>44091.458333333336</c:v>
                </c:pt>
                <c:pt idx="354">
                  <c:v>44140.333333333336</c:v>
                </c:pt>
                <c:pt idx="355">
                  <c:v>44182.5</c:v>
                </c:pt>
                <c:pt idx="356">
                  <c:v>44231.5</c:v>
                </c:pt>
                <c:pt idx="357">
                  <c:v>44231.541666666664</c:v>
                </c:pt>
                <c:pt idx="358">
                  <c:v>44273.5</c:v>
                </c:pt>
                <c:pt idx="359">
                  <c:v>44322.458333333336</c:v>
                </c:pt>
                <c:pt idx="360">
                  <c:v>44322.5</c:v>
                </c:pt>
                <c:pt idx="361">
                  <c:v>44371.458333333336</c:v>
                </c:pt>
                <c:pt idx="362">
                  <c:v>44413.458333333336</c:v>
                </c:pt>
                <c:pt idx="363">
                  <c:v>44413.5</c:v>
                </c:pt>
                <c:pt idx="364">
                  <c:v>44462.458333333336</c:v>
                </c:pt>
                <c:pt idx="365">
                  <c:v>44504.5</c:v>
                </c:pt>
                <c:pt idx="366">
                  <c:v>44504.520833333336</c:v>
                </c:pt>
                <c:pt idx="367">
                  <c:v>44546.5</c:v>
                </c:pt>
                <c:pt idx="368">
                  <c:v>44595.5</c:v>
                </c:pt>
                <c:pt idx="369">
                  <c:v>44595.520833333336</c:v>
                </c:pt>
                <c:pt idx="370">
                  <c:v>44637.5</c:v>
                </c:pt>
                <c:pt idx="371">
                  <c:v>44686.458333333336</c:v>
                </c:pt>
                <c:pt idx="372">
                  <c:v>44686.479166666664</c:v>
                </c:pt>
                <c:pt idx="373">
                  <c:v>44728.458333333336</c:v>
                </c:pt>
                <c:pt idx="374">
                  <c:v>44777.458333333336</c:v>
                </c:pt>
                <c:pt idx="375">
                  <c:v>44777.479166666664</c:v>
                </c:pt>
                <c:pt idx="376">
                  <c:v>44826.458333333336</c:v>
                </c:pt>
                <c:pt idx="377">
                  <c:v>44868.5</c:v>
                </c:pt>
                <c:pt idx="378">
                  <c:v>44868.520833333336</c:v>
                </c:pt>
                <c:pt idx="379">
                  <c:v>44910.5</c:v>
                </c:pt>
                <c:pt idx="380">
                  <c:v>44959.5</c:v>
                </c:pt>
                <c:pt idx="381">
                  <c:v>44959.520833333336</c:v>
                </c:pt>
                <c:pt idx="382">
                  <c:v>45008.5</c:v>
                </c:pt>
                <c:pt idx="383">
                  <c:v>45057.458333333336</c:v>
                </c:pt>
                <c:pt idx="384">
                  <c:v>45057.479166666664</c:v>
                </c:pt>
                <c:pt idx="385">
                  <c:v>45099.458333333336</c:v>
                </c:pt>
                <c:pt idx="386">
                  <c:v>45141.458333333336</c:v>
                </c:pt>
                <c:pt idx="387">
                  <c:v>45141.479166666664</c:v>
                </c:pt>
                <c:pt idx="388">
                  <c:v>45190.458333333336</c:v>
                </c:pt>
                <c:pt idx="389">
                  <c:v>45232.5</c:v>
                </c:pt>
                <c:pt idx="390">
                  <c:v>45232.520833333336</c:v>
                </c:pt>
                <c:pt idx="391">
                  <c:v>45274.5</c:v>
                </c:pt>
                <c:pt idx="392">
                  <c:v>45323.5</c:v>
                </c:pt>
                <c:pt idx="393">
                  <c:v>45323.520833333336</c:v>
                </c:pt>
                <c:pt idx="394">
                  <c:v>45372.5</c:v>
                </c:pt>
                <c:pt idx="395">
                  <c:v>45421.458333333336</c:v>
                </c:pt>
                <c:pt idx="396">
                  <c:v>45421.479166666664</c:v>
                </c:pt>
                <c:pt idx="397">
                  <c:v>45463.458333333336</c:v>
                </c:pt>
                <c:pt idx="398">
                  <c:v>45505.458333333336</c:v>
                </c:pt>
                <c:pt idx="399">
                  <c:v>45505.479166666664</c:v>
                </c:pt>
                <c:pt idx="400">
                  <c:v>45554.458333333336</c:v>
                </c:pt>
                <c:pt idx="401">
                  <c:v>45603.5</c:v>
                </c:pt>
                <c:pt idx="402">
                  <c:v>45603.520833333336</c:v>
                </c:pt>
                <c:pt idx="403">
                  <c:v>45645.5</c:v>
                </c:pt>
                <c:pt idx="404">
                  <c:v>45694.5</c:v>
                </c:pt>
                <c:pt idx="405">
                  <c:v>45694.520833333336</c:v>
                </c:pt>
                <c:pt idx="406">
                  <c:v>45736.5</c:v>
                </c:pt>
                <c:pt idx="407">
                  <c:v>45785.458333333336</c:v>
                </c:pt>
                <c:pt idx="408">
                  <c:v>45785.479166666664</c:v>
                </c:pt>
                <c:pt idx="409">
                  <c:v>45827.458333333336</c:v>
                </c:pt>
                <c:pt idx="410">
                  <c:v>45876.458333333336</c:v>
                </c:pt>
                <c:pt idx="411">
                  <c:v>45876.479166666664</c:v>
                </c:pt>
                <c:pt idx="412">
                  <c:v>45918.458333333336</c:v>
                </c:pt>
                <c:pt idx="413">
                  <c:v>45967.5</c:v>
                </c:pt>
                <c:pt idx="414">
                  <c:v>45967.520833333336</c:v>
                </c:pt>
              </c:numCache>
            </c:numRef>
          </c:cat>
          <c:val>
            <c:numRef>
              <c:f>factors!$D$2:$D$416</c:f>
              <c:numCache>
                <c:formatCode>General</c:formatCode>
                <c:ptCount val="415"/>
                <c:pt idx="0">
                  <c:v>-3.3270228853150521E-2</c:v>
                </c:pt>
                <c:pt idx="1">
                  <c:v>-6.5044753537936784E-3</c:v>
                </c:pt>
                <c:pt idx="2">
                  <c:v>-1.7190075060902883E-2</c:v>
                </c:pt>
                <c:pt idx="3">
                  <c:v>3.2392097310954947E-3</c:v>
                </c:pt>
                <c:pt idx="4">
                  <c:v>1.5697593571892661E-2</c:v>
                </c:pt>
                <c:pt idx="5">
                  <c:v>2.5569042896665294E-2</c:v>
                </c:pt>
                <c:pt idx="6">
                  <c:v>1.2446053668556723E-3</c:v>
                </c:pt>
                <c:pt idx="7">
                  <c:v>-2.6451078750738797E-2</c:v>
                </c:pt>
                <c:pt idx="8">
                  <c:v>-1.0732889295756106E-2</c:v>
                </c:pt>
                <c:pt idx="9">
                  <c:v>-1.1305864717381021E-2</c:v>
                </c:pt>
                <c:pt idx="10">
                  <c:v>4.2175406527864097E-3</c:v>
                </c:pt>
                <c:pt idx="11">
                  <c:v>-3.1990178741499099E-2</c:v>
                </c:pt>
                <c:pt idx="12">
                  <c:v>-4.3341957352021499E-3</c:v>
                </c:pt>
                <c:pt idx="13">
                  <c:v>-3.033331025867881E-3</c:v>
                </c:pt>
                <c:pt idx="14">
                  <c:v>1.3765285161250956E-2</c:v>
                </c:pt>
                <c:pt idx="15">
                  <c:v>5.741807732712048E-3</c:v>
                </c:pt>
                <c:pt idx="16">
                  <c:v>6.1389632855582486E-2</c:v>
                </c:pt>
                <c:pt idx="17">
                  <c:v>1.5713400339288315E-2</c:v>
                </c:pt>
                <c:pt idx="18">
                  <c:v>3.9899241946432788E-2</c:v>
                </c:pt>
                <c:pt idx="19">
                  <c:v>-9.1991827510252089E-2</c:v>
                </c:pt>
                <c:pt idx="20">
                  <c:v>2.9736278513365317E-2</c:v>
                </c:pt>
                <c:pt idx="21">
                  <c:v>6.4478298413179008E-2</c:v>
                </c:pt>
                <c:pt idx="22">
                  <c:v>-3.0171360553956139E-2</c:v>
                </c:pt>
                <c:pt idx="23">
                  <c:v>-1.8996180452973885E-2</c:v>
                </c:pt>
                <c:pt idx="24">
                  <c:v>-4.756504526986443E-2</c:v>
                </c:pt>
                <c:pt idx="25">
                  <c:v>0.11503166527889956</c:v>
                </c:pt>
                <c:pt idx="26">
                  <c:v>-2.4981636682271387E-2</c:v>
                </c:pt>
                <c:pt idx="27">
                  <c:v>-5.6835919389997887E-2</c:v>
                </c:pt>
                <c:pt idx="28">
                  <c:v>1.3111728212838117E-2</c:v>
                </c:pt>
                <c:pt idx="29">
                  <c:v>-3.6036482703300822E-2</c:v>
                </c:pt>
                <c:pt idx="30">
                  <c:v>-2.5663122715613952E-3</c:v>
                </c:pt>
                <c:pt idx="31">
                  <c:v>1.0760777932207394E-2</c:v>
                </c:pt>
                <c:pt idx="32">
                  <c:v>9.3507899547973349E-3</c:v>
                </c:pt>
                <c:pt idx="33">
                  <c:v>1.787842238285714E-2</c:v>
                </c:pt>
                <c:pt idx="34">
                  <c:v>-2.5811474446620731E-2</c:v>
                </c:pt>
                <c:pt idx="35">
                  <c:v>9.7020774010203401E-3</c:v>
                </c:pt>
                <c:pt idx="36">
                  <c:v>-1.9872351896923331E-2</c:v>
                </c:pt>
                <c:pt idx="37">
                  <c:v>2.7617581704891064E-2</c:v>
                </c:pt>
                <c:pt idx="38">
                  <c:v>-7.2731362572449915E-2</c:v>
                </c:pt>
                <c:pt idx="39">
                  <c:v>5.6909893885391E-2</c:v>
                </c:pt>
                <c:pt idx="40">
                  <c:v>1.6915542767877947E-2</c:v>
                </c:pt>
                <c:pt idx="41">
                  <c:v>5.1725248981952573E-3</c:v>
                </c:pt>
                <c:pt idx="42">
                  <c:v>-3.3918993176605051E-2</c:v>
                </c:pt>
                <c:pt idx="43">
                  <c:v>2.8726059746921516E-2</c:v>
                </c:pt>
                <c:pt idx="44">
                  <c:v>2.9701851137288911E-2</c:v>
                </c:pt>
                <c:pt idx="45">
                  <c:v>1.495121546498282E-2</c:v>
                </c:pt>
                <c:pt idx="46">
                  <c:v>-3.4979573751144084E-2</c:v>
                </c:pt>
                <c:pt idx="47">
                  <c:v>1.1523962424869237E-2</c:v>
                </c:pt>
                <c:pt idx="48">
                  <c:v>1.8123481814170575E-3</c:v>
                </c:pt>
                <c:pt idx="49">
                  <c:v>1.398992192652989E-2</c:v>
                </c:pt>
                <c:pt idx="50">
                  <c:v>-8.5080365646351529E-3</c:v>
                </c:pt>
                <c:pt idx="51">
                  <c:v>1.9494853322527712E-2</c:v>
                </c:pt>
                <c:pt idx="52">
                  <c:v>8.1692988834406732E-3</c:v>
                </c:pt>
                <c:pt idx="53">
                  <c:v>1.8497422895874546E-3</c:v>
                </c:pt>
                <c:pt idx="54">
                  <c:v>-1.271257362553288E-2</c:v>
                </c:pt>
                <c:pt idx="55">
                  <c:v>1.0470747521631118E-3</c:v>
                </c:pt>
                <c:pt idx="56">
                  <c:v>-1.5709773362915295E-2</c:v>
                </c:pt>
                <c:pt idx="57">
                  <c:v>-8.8864022261614089E-3</c:v>
                </c:pt>
                <c:pt idx="58">
                  <c:v>-1.0661642742139453E-3</c:v>
                </c:pt>
                <c:pt idx="59">
                  <c:v>-6.2961809997519854E-3</c:v>
                </c:pt>
                <c:pt idx="60">
                  <c:v>-5.5089028504248091E-3</c:v>
                </c:pt>
                <c:pt idx="61">
                  <c:v>1.1591932090998485E-3</c:v>
                </c:pt>
                <c:pt idx="62">
                  <c:v>-2.2030787668545097E-2</c:v>
                </c:pt>
                <c:pt idx="63">
                  <c:v>-1.0200983518036978E-2</c:v>
                </c:pt>
                <c:pt idx="64">
                  <c:v>-0.11391424223091237</c:v>
                </c:pt>
                <c:pt idx="65">
                  <c:v>1.4289239926174518E-2</c:v>
                </c:pt>
                <c:pt idx="66">
                  <c:v>-2.7418056176239027E-2</c:v>
                </c:pt>
                <c:pt idx="67">
                  <c:v>-2.2286682909859454E-2</c:v>
                </c:pt>
                <c:pt idx="68">
                  <c:v>5.1450655457766295E-2</c:v>
                </c:pt>
                <c:pt idx="69">
                  <c:v>-5.5525744011408557E-2</c:v>
                </c:pt>
                <c:pt idx="70">
                  <c:v>3.0944472212991916E-2</c:v>
                </c:pt>
                <c:pt idx="71">
                  <c:v>2.9316741933233359E-2</c:v>
                </c:pt>
                <c:pt idx="72">
                  <c:v>-1.8315500275926981E-2</c:v>
                </c:pt>
                <c:pt idx="73">
                  <c:v>-1.0772248028823244E-2</c:v>
                </c:pt>
                <c:pt idx="74">
                  <c:v>-2.4742126265898605E-2</c:v>
                </c:pt>
                <c:pt idx="75">
                  <c:v>1.1717979880877593E-2</c:v>
                </c:pt>
                <c:pt idx="76">
                  <c:v>-1.0734831425228023E-2</c:v>
                </c:pt>
                <c:pt idx="77">
                  <c:v>5.7361459590226675E-3</c:v>
                </c:pt>
                <c:pt idx="78">
                  <c:v>4.7895152292890472E-2</c:v>
                </c:pt>
                <c:pt idx="79">
                  <c:v>1.9126236876212024E-2</c:v>
                </c:pt>
                <c:pt idx="80">
                  <c:v>1.4292854456769961E-2</c:v>
                </c:pt>
                <c:pt idx="81">
                  <c:v>2.1484412409771558E-3</c:v>
                </c:pt>
                <c:pt idx="82">
                  <c:v>-2.6017409201368791E-2</c:v>
                </c:pt>
                <c:pt idx="83">
                  <c:v>-6.038649063467373E-3</c:v>
                </c:pt>
                <c:pt idx="84">
                  <c:v>-9.9638841561741718E-3</c:v>
                </c:pt>
                <c:pt idx="85">
                  <c:v>1.8399953083207885E-2</c:v>
                </c:pt>
                <c:pt idx="86">
                  <c:v>1.9226821671595912E-2</c:v>
                </c:pt>
                <c:pt idx="87">
                  <c:v>-6.967196478471922E-3</c:v>
                </c:pt>
                <c:pt idx="88">
                  <c:v>-1.1174966799906857E-2</c:v>
                </c:pt>
                <c:pt idx="89">
                  <c:v>-0.12051529470491609</c:v>
                </c:pt>
                <c:pt idx="90">
                  <c:v>8.3820094350722677E-4</c:v>
                </c:pt>
                <c:pt idx="91">
                  <c:v>1.26158520124675E-2</c:v>
                </c:pt>
                <c:pt idx="92">
                  <c:v>3.3140313888274792E-2</c:v>
                </c:pt>
                <c:pt idx="93">
                  <c:v>-0.12156761146076826</c:v>
                </c:pt>
                <c:pt idx="94">
                  <c:v>-4.8780970088184959E-3</c:v>
                </c:pt>
                <c:pt idx="95">
                  <c:v>-2.1616550366653439E-2</c:v>
                </c:pt>
                <c:pt idx="96">
                  <c:v>-9.1284478709317222E-3</c:v>
                </c:pt>
                <c:pt idx="97">
                  <c:v>-2.9562317327720831E-2</c:v>
                </c:pt>
                <c:pt idx="98">
                  <c:v>-1.1236182086132526E-3</c:v>
                </c:pt>
                <c:pt idx="99">
                  <c:v>-1.1379425011133572E-2</c:v>
                </c:pt>
                <c:pt idx="100">
                  <c:v>-1.3621771095476631E-2</c:v>
                </c:pt>
                <c:pt idx="101">
                  <c:v>1.4594413475867011E-2</c:v>
                </c:pt>
                <c:pt idx="102">
                  <c:v>2.3452710349947063E-2</c:v>
                </c:pt>
                <c:pt idx="103">
                  <c:v>3.823549077928895E-3</c:v>
                </c:pt>
                <c:pt idx="104">
                  <c:v>3.4136661319000609E-2</c:v>
                </c:pt>
                <c:pt idx="105">
                  <c:v>-3.997572859032743E-3</c:v>
                </c:pt>
                <c:pt idx="106">
                  <c:v>-2.4132116706144465E-3</c:v>
                </c:pt>
                <c:pt idx="107">
                  <c:v>-1.3109987299901928E-2</c:v>
                </c:pt>
                <c:pt idx="108">
                  <c:v>3.6357067723080283E-2</c:v>
                </c:pt>
                <c:pt idx="109">
                  <c:v>2.0001767464121228E-2</c:v>
                </c:pt>
                <c:pt idx="110">
                  <c:v>-1.5537910005144611E-2</c:v>
                </c:pt>
                <c:pt idx="111">
                  <c:v>1.3850368529645565E-2</c:v>
                </c:pt>
                <c:pt idx="112">
                  <c:v>-1.0732752564578037E-2</c:v>
                </c:pt>
                <c:pt idx="113">
                  <c:v>-2.2237234716065138E-3</c:v>
                </c:pt>
                <c:pt idx="114">
                  <c:v>-2.6053767260160376E-3</c:v>
                </c:pt>
                <c:pt idx="115">
                  <c:v>2.4563296050057744E-3</c:v>
                </c:pt>
                <c:pt idx="116">
                  <c:v>3.9867052604164576E-3</c:v>
                </c:pt>
                <c:pt idx="117">
                  <c:v>-6.6515332885196343E-2</c:v>
                </c:pt>
                <c:pt idx="118">
                  <c:v>1.6516019841918284E-3</c:v>
                </c:pt>
                <c:pt idx="119">
                  <c:v>6.6038455999164929E-3</c:v>
                </c:pt>
                <c:pt idx="120">
                  <c:v>4.1028530216804613E-3</c:v>
                </c:pt>
                <c:pt idx="121">
                  <c:v>-3.3611051974971211E-2</c:v>
                </c:pt>
                <c:pt idx="122">
                  <c:v>3.7331718476191207E-3</c:v>
                </c:pt>
                <c:pt idx="123">
                  <c:v>1.6701144213201465E-2</c:v>
                </c:pt>
                <c:pt idx="124">
                  <c:v>-4.8376355855917182E-3</c:v>
                </c:pt>
                <c:pt idx="125">
                  <c:v>-4.2570510261460234E-2</c:v>
                </c:pt>
                <c:pt idx="126">
                  <c:v>-5.7397138825719344E-3</c:v>
                </c:pt>
                <c:pt idx="127">
                  <c:v>-2.1961270607629398E-3</c:v>
                </c:pt>
                <c:pt idx="128">
                  <c:v>2.0456983634174714E-2</c:v>
                </c:pt>
                <c:pt idx="129">
                  <c:v>4.9516483665537743E-2</c:v>
                </c:pt>
                <c:pt idx="130">
                  <c:v>-4.143731919103217E-5</c:v>
                </c:pt>
                <c:pt idx="131">
                  <c:v>-2.7525037896474233E-3</c:v>
                </c:pt>
                <c:pt idx="132">
                  <c:v>-2.9828759741426908E-3</c:v>
                </c:pt>
                <c:pt idx="133">
                  <c:v>-1.8387051690858719E-2</c:v>
                </c:pt>
                <c:pt idx="134">
                  <c:v>1.0668343266276128E-3</c:v>
                </c:pt>
                <c:pt idx="135">
                  <c:v>2.4501763632626635E-3</c:v>
                </c:pt>
                <c:pt idx="136">
                  <c:v>-1.9243824127983646E-4</c:v>
                </c:pt>
                <c:pt idx="137">
                  <c:v>8.3854539588411169E-3</c:v>
                </c:pt>
                <c:pt idx="138">
                  <c:v>-5.8919848202427499E-3</c:v>
                </c:pt>
                <c:pt idx="139">
                  <c:v>-1.5786818613028341E-4</c:v>
                </c:pt>
                <c:pt idx="140">
                  <c:v>1.3179190172629949E-2</c:v>
                </c:pt>
                <c:pt idx="141">
                  <c:v>-2.329697064949727E-3</c:v>
                </c:pt>
                <c:pt idx="142">
                  <c:v>6.1064202604023598E-3</c:v>
                </c:pt>
                <c:pt idx="143">
                  <c:v>3.011090964135551E-3</c:v>
                </c:pt>
                <c:pt idx="144">
                  <c:v>2.3132644204561091E-2</c:v>
                </c:pt>
                <c:pt idx="145">
                  <c:v>-8.6302943801030516E-3</c:v>
                </c:pt>
                <c:pt idx="146">
                  <c:v>2.4651716576577012E-3</c:v>
                </c:pt>
                <c:pt idx="147">
                  <c:v>-2.0954617245117133E-2</c:v>
                </c:pt>
                <c:pt idx="148">
                  <c:v>-5.6780797691329691E-3</c:v>
                </c:pt>
                <c:pt idx="149">
                  <c:v>-4.0866477769392381E-2</c:v>
                </c:pt>
                <c:pt idx="150">
                  <c:v>-1.2953344986540041E-3</c:v>
                </c:pt>
                <c:pt idx="151">
                  <c:v>7.8029984259970564E-3</c:v>
                </c:pt>
                <c:pt idx="152">
                  <c:v>-2.3087765545528227E-3</c:v>
                </c:pt>
                <c:pt idx="153">
                  <c:v>-7.7721387242599017E-3</c:v>
                </c:pt>
                <c:pt idx="154">
                  <c:v>1.202998157296163E-2</c:v>
                </c:pt>
                <c:pt idx="155">
                  <c:v>1.562093251066842E-2</c:v>
                </c:pt>
                <c:pt idx="156">
                  <c:v>1.2454845008332703E-2</c:v>
                </c:pt>
                <c:pt idx="157">
                  <c:v>1.3516266862577994E-2</c:v>
                </c:pt>
                <c:pt idx="158">
                  <c:v>1.7067324700347272E-2</c:v>
                </c:pt>
                <c:pt idx="159">
                  <c:v>1.0707669772817837E-2</c:v>
                </c:pt>
                <c:pt idx="160">
                  <c:v>1.252286595582042E-2</c:v>
                </c:pt>
                <c:pt idx="161">
                  <c:v>-6.2527008346032285E-3</c:v>
                </c:pt>
                <c:pt idx="162">
                  <c:v>-5.5905334712913347E-2</c:v>
                </c:pt>
                <c:pt idx="163">
                  <c:v>-3.0463141047868861E-2</c:v>
                </c:pt>
                <c:pt idx="164">
                  <c:v>-2.2145745774181651E-2</c:v>
                </c:pt>
                <c:pt idx="165">
                  <c:v>-5.5107628485999316E-2</c:v>
                </c:pt>
                <c:pt idx="166">
                  <c:v>-3.2917785387402742E-3</c:v>
                </c:pt>
                <c:pt idx="167">
                  <c:v>-4.0796596792100501E-2</c:v>
                </c:pt>
                <c:pt idx="168">
                  <c:v>-3.9139270277878627E-2</c:v>
                </c:pt>
                <c:pt idx="169">
                  <c:v>4.9542066784997778E-2</c:v>
                </c:pt>
                <c:pt idx="170">
                  <c:v>-1.3283329992354124E-2</c:v>
                </c:pt>
                <c:pt idx="171">
                  <c:v>-4.8187634641642302E-2</c:v>
                </c:pt>
                <c:pt idx="172">
                  <c:v>-3.1452493038454654E-2</c:v>
                </c:pt>
                <c:pt idx="173">
                  <c:v>4.2882530771118824E-2</c:v>
                </c:pt>
                <c:pt idx="174">
                  <c:v>-4.5964051598453666E-3</c:v>
                </c:pt>
                <c:pt idx="175">
                  <c:v>2.8252019214232396E-3</c:v>
                </c:pt>
                <c:pt idx="176">
                  <c:v>-1.3579312796687051E-2</c:v>
                </c:pt>
                <c:pt idx="177">
                  <c:v>-0.14341909065151948</c:v>
                </c:pt>
                <c:pt idx="178">
                  <c:v>9.7578219331400304E-3</c:v>
                </c:pt>
                <c:pt idx="179">
                  <c:v>-9.4894611909383614E-2</c:v>
                </c:pt>
                <c:pt idx="180">
                  <c:v>2.6367965686692283E-2</c:v>
                </c:pt>
                <c:pt idx="181">
                  <c:v>-4.8095367499487278E-2</c:v>
                </c:pt>
                <c:pt idx="182">
                  <c:v>-6.9707099479409784E-2</c:v>
                </c:pt>
                <c:pt idx="183">
                  <c:v>3.8335664804635641E-2</c:v>
                </c:pt>
                <c:pt idx="184">
                  <c:v>2.2491096941251464E-2</c:v>
                </c:pt>
                <c:pt idx="185">
                  <c:v>-5.3858566592112946E-3</c:v>
                </c:pt>
                <c:pt idx="186">
                  <c:v>8.0361836221108929E-2</c:v>
                </c:pt>
                <c:pt idx="187">
                  <c:v>-5.8726422717120834E-3</c:v>
                </c:pt>
                <c:pt idx="188">
                  <c:v>8.5693906344451898E-2</c:v>
                </c:pt>
                <c:pt idx="189">
                  <c:v>-4.6003020514585262E-2</c:v>
                </c:pt>
                <c:pt idx="190">
                  <c:v>-1.0095321102451652E-2</c:v>
                </c:pt>
                <c:pt idx="191">
                  <c:v>-8.7296948295569762E-2</c:v>
                </c:pt>
                <c:pt idx="192">
                  <c:v>-0.10505024405225646</c:v>
                </c:pt>
                <c:pt idx="193">
                  <c:v>-4.5803975948041364E-2</c:v>
                </c:pt>
                <c:pt idx="194">
                  <c:v>-2.3328074037439763E-3</c:v>
                </c:pt>
                <c:pt idx="195">
                  <c:v>-6.675774356614946E-5</c:v>
                </c:pt>
                <c:pt idx="196">
                  <c:v>-1.1908884934627516E-2</c:v>
                </c:pt>
                <c:pt idx="197">
                  <c:v>-7.9981321615380671E-2</c:v>
                </c:pt>
                <c:pt idx="198">
                  <c:v>-1.9510481586631042E-2</c:v>
                </c:pt>
                <c:pt idx="199">
                  <c:v>6.3821329143455268E-3</c:v>
                </c:pt>
                <c:pt idx="200">
                  <c:v>-5.0686990560977745E-2</c:v>
                </c:pt>
                <c:pt idx="201">
                  <c:v>-6.1586328228623526E-2</c:v>
                </c:pt>
                <c:pt idx="202">
                  <c:v>1.1159846853967072E-2</c:v>
                </c:pt>
                <c:pt idx="203">
                  <c:v>-1.0516132380715826E-2</c:v>
                </c:pt>
                <c:pt idx="204">
                  <c:v>-5.0991123534549647E-2</c:v>
                </c:pt>
                <c:pt idx="205">
                  <c:v>-6.3605961938743863E-2</c:v>
                </c:pt>
                <c:pt idx="206">
                  <c:v>-5.5575282667008237E-3</c:v>
                </c:pt>
                <c:pt idx="207">
                  <c:v>-2.3425530268973687E-3</c:v>
                </c:pt>
                <c:pt idx="208">
                  <c:v>-3.7713294377666462E-3</c:v>
                </c:pt>
                <c:pt idx="209">
                  <c:v>-2.0874063980366876E-2</c:v>
                </c:pt>
                <c:pt idx="210">
                  <c:v>-1.595318028233117E-2</c:v>
                </c:pt>
                <c:pt idx="211">
                  <c:v>-9.4758527243221594E-3</c:v>
                </c:pt>
                <c:pt idx="212">
                  <c:v>2.9406122348541147E-4</c:v>
                </c:pt>
                <c:pt idx="213">
                  <c:v>-2.6270674048912918E-3</c:v>
                </c:pt>
                <c:pt idx="214">
                  <c:v>-9.7465135325372054E-3</c:v>
                </c:pt>
                <c:pt idx="215">
                  <c:v>5.5338351549613588E-3</c:v>
                </c:pt>
                <c:pt idx="216">
                  <c:v>2.9054093375144606E-2</c:v>
                </c:pt>
                <c:pt idx="217">
                  <c:v>4.4532117996124131E-3</c:v>
                </c:pt>
                <c:pt idx="218">
                  <c:v>7.507665681685571E-3</c:v>
                </c:pt>
                <c:pt idx="219">
                  <c:v>-5.7675096104077249E-3</c:v>
                </c:pt>
                <c:pt idx="220">
                  <c:v>-7.1445982663720271E-3</c:v>
                </c:pt>
                <c:pt idx="221">
                  <c:v>2.0345659290527729E-2</c:v>
                </c:pt>
                <c:pt idx="222">
                  <c:v>2.3279890742696225E-3</c:v>
                </c:pt>
                <c:pt idx="223">
                  <c:v>4.3050526831485544E-3</c:v>
                </c:pt>
                <c:pt idx="224">
                  <c:v>1.2927323056455926E-3</c:v>
                </c:pt>
                <c:pt idx="225">
                  <c:v>5.7127493720563208E-2</c:v>
                </c:pt>
                <c:pt idx="226">
                  <c:v>8.2668617403280648E-3</c:v>
                </c:pt>
                <c:pt idx="227">
                  <c:v>5.1092064314056898E-2</c:v>
                </c:pt>
                <c:pt idx="228">
                  <c:v>-8.0908159960470997E-4</c:v>
                </c:pt>
                <c:pt idx="229">
                  <c:v>4.4734235304784521E-2</c:v>
                </c:pt>
                <c:pt idx="230">
                  <c:v>-4.3334118228284813E-3</c:v>
                </c:pt>
                <c:pt idx="231">
                  <c:v>1.469640953828784E-2</c:v>
                </c:pt>
                <c:pt idx="232">
                  <c:v>3.2005861498770175E-3</c:v>
                </c:pt>
                <c:pt idx="233">
                  <c:v>-9.4958700929331037E-4</c:v>
                </c:pt>
                <c:pt idx="234">
                  <c:v>2.1886341363761444E-4</c:v>
                </c:pt>
                <c:pt idx="235">
                  <c:v>1.4149357510784884E-3</c:v>
                </c:pt>
                <c:pt idx="236">
                  <c:v>-1.1672921397715726E-2</c:v>
                </c:pt>
                <c:pt idx="237">
                  <c:v>2.7921446612708772E-2</c:v>
                </c:pt>
                <c:pt idx="238">
                  <c:v>-2.2329675524706848E-2</c:v>
                </c:pt>
                <c:pt idx="239">
                  <c:v>-3.1797155030140085E-2</c:v>
                </c:pt>
                <c:pt idx="240">
                  <c:v>1.9553172020838738E-3</c:v>
                </c:pt>
                <c:pt idx="241">
                  <c:v>4.5780730136714617E-2</c:v>
                </c:pt>
                <c:pt idx="242">
                  <c:v>-9.7004519823010241E-3</c:v>
                </c:pt>
                <c:pt idx="243">
                  <c:v>2.0627209025855741E-3</c:v>
                </c:pt>
                <c:pt idx="244">
                  <c:v>-1.3309783751254828E-2</c:v>
                </c:pt>
                <c:pt idx="245">
                  <c:v>7.1199391579821218E-3</c:v>
                </c:pt>
                <c:pt idx="246">
                  <c:v>3.2696781386244256E-3</c:v>
                </c:pt>
                <c:pt idx="247">
                  <c:v>1.0184581355537413E-3</c:v>
                </c:pt>
                <c:pt idx="248">
                  <c:v>6.5167902835157566E-3</c:v>
                </c:pt>
                <c:pt idx="249">
                  <c:v>-2.9165974006430121E-2</c:v>
                </c:pt>
                <c:pt idx="250">
                  <c:v>-2.3341546903428531E-2</c:v>
                </c:pt>
                <c:pt idx="251">
                  <c:v>3.8543984828377392E-3</c:v>
                </c:pt>
                <c:pt idx="252">
                  <c:v>-8.6143693698545465E-3</c:v>
                </c:pt>
                <c:pt idx="253">
                  <c:v>-1.4726425282730554E-2</c:v>
                </c:pt>
                <c:pt idx="254">
                  <c:v>-2.9072438902814951E-3</c:v>
                </c:pt>
                <c:pt idx="255">
                  <c:v>-4.2204894003293719E-2</c:v>
                </c:pt>
                <c:pt idx="256">
                  <c:v>-8.7917455570988099E-3</c:v>
                </c:pt>
                <c:pt idx="257">
                  <c:v>-9.6241299625347762E-3</c:v>
                </c:pt>
                <c:pt idx="258">
                  <c:v>7.3001446000859017E-3</c:v>
                </c:pt>
                <c:pt idx="259">
                  <c:v>5.5774598298689053E-3</c:v>
                </c:pt>
                <c:pt idx="260">
                  <c:v>-1.804914935171868E-4</c:v>
                </c:pt>
                <c:pt idx="261">
                  <c:v>-2.5147564650088772E-2</c:v>
                </c:pt>
                <c:pt idx="262">
                  <c:v>-1.9077317644022419E-2</c:v>
                </c:pt>
                <c:pt idx="263">
                  <c:v>-1.5954637480923125E-2</c:v>
                </c:pt>
                <c:pt idx="264">
                  <c:v>7.2462184618398697E-3</c:v>
                </c:pt>
                <c:pt idx="265">
                  <c:v>-1.9075045435736685E-2</c:v>
                </c:pt>
                <c:pt idx="266">
                  <c:v>-5.4957383334531271E-3</c:v>
                </c:pt>
                <c:pt idx="267">
                  <c:v>-8.0923188531842397E-3</c:v>
                </c:pt>
                <c:pt idx="268">
                  <c:v>-1.5513319336896076E-3</c:v>
                </c:pt>
                <c:pt idx="269">
                  <c:v>-3.8262800347680058E-2</c:v>
                </c:pt>
                <c:pt idx="270">
                  <c:v>1.1142990932533625E-3</c:v>
                </c:pt>
                <c:pt idx="271">
                  <c:v>-1.4066831210776684E-4</c:v>
                </c:pt>
                <c:pt idx="272">
                  <c:v>-3.3307995084622213E-3</c:v>
                </c:pt>
                <c:pt idx="273">
                  <c:v>-6.0191447800208325E-2</c:v>
                </c:pt>
                <c:pt idx="274">
                  <c:v>6.9022340683138842E-3</c:v>
                </c:pt>
                <c:pt idx="275">
                  <c:v>1.0803804583987681E-2</c:v>
                </c:pt>
                <c:pt idx="276">
                  <c:v>8.6610052687437003E-3</c:v>
                </c:pt>
                <c:pt idx="277">
                  <c:v>-4.477277864528327E-2</c:v>
                </c:pt>
                <c:pt idx="278">
                  <c:v>1.2277100217609731E-3</c:v>
                </c:pt>
                <c:pt idx="279">
                  <c:v>-5.2395138447217703E-3</c:v>
                </c:pt>
                <c:pt idx="280">
                  <c:v>-4.175269257553584E-3</c:v>
                </c:pt>
                <c:pt idx="281">
                  <c:v>-3.5991478102883057E-2</c:v>
                </c:pt>
                <c:pt idx="282">
                  <c:v>1.0810307666902412E-3</c:v>
                </c:pt>
                <c:pt idx="283">
                  <c:v>-2.3969401609349695E-3</c:v>
                </c:pt>
                <c:pt idx="284">
                  <c:v>-7.7948675944931748E-4</c:v>
                </c:pt>
                <c:pt idx="285">
                  <c:v>-1.5983560750114555E-2</c:v>
                </c:pt>
                <c:pt idx="286">
                  <c:v>1.2027013185644394E-2</c:v>
                </c:pt>
                <c:pt idx="287">
                  <c:v>-2.0829278900059688E-4</c:v>
                </c:pt>
                <c:pt idx="288">
                  <c:v>-4.7150657686099622E-3</c:v>
                </c:pt>
                <c:pt idx="289">
                  <c:v>-1.1359783170713173E-3</c:v>
                </c:pt>
                <c:pt idx="290">
                  <c:v>1.3159093942447283E-3</c:v>
                </c:pt>
                <c:pt idx="291">
                  <c:v>-2.1344635777132831E-2</c:v>
                </c:pt>
                <c:pt idx="292">
                  <c:v>-3.0573700231740667E-2</c:v>
                </c:pt>
                <c:pt idx="293">
                  <c:v>-3.3752135639621042E-3</c:v>
                </c:pt>
                <c:pt idx="294">
                  <c:v>-1.6134124007176262E-3</c:v>
                </c:pt>
                <c:pt idx="295">
                  <c:v>3.512281267473149E-3</c:v>
                </c:pt>
                <c:pt idx="296">
                  <c:v>-2.1720094877739578E-2</c:v>
                </c:pt>
                <c:pt idx="297">
                  <c:v>1.5931221384955022E-2</c:v>
                </c:pt>
                <c:pt idx="298">
                  <c:v>-3.9942855999537102E-3</c:v>
                </c:pt>
                <c:pt idx="299">
                  <c:v>1.0648802455284302E-2</c:v>
                </c:pt>
                <c:pt idx="300">
                  <c:v>2.1878248379844631E-2</c:v>
                </c:pt>
                <c:pt idx="301">
                  <c:v>2.6185814456339907E-3</c:v>
                </c:pt>
                <c:pt idx="302">
                  <c:v>-3.679037316733148E-3</c:v>
                </c:pt>
                <c:pt idx="303">
                  <c:v>1.7247576156891322E-3</c:v>
                </c:pt>
                <c:pt idx="304">
                  <c:v>4.4188457080213718E-2</c:v>
                </c:pt>
                <c:pt idx="305">
                  <c:v>-2.3290839965137349E-2</c:v>
                </c:pt>
                <c:pt idx="306">
                  <c:v>9.2935598334355045E-3</c:v>
                </c:pt>
                <c:pt idx="307">
                  <c:v>-1.6840854025922786E-3</c:v>
                </c:pt>
                <c:pt idx="308">
                  <c:v>6.3899240908825176E-5</c:v>
                </c:pt>
                <c:pt idx="309">
                  <c:v>1.2010710060162572E-2</c:v>
                </c:pt>
                <c:pt idx="310">
                  <c:v>-8.0888949186481204E-4</c:v>
                </c:pt>
                <c:pt idx="311">
                  <c:v>9.8524890569300395E-3</c:v>
                </c:pt>
                <c:pt idx="312">
                  <c:v>-1.4404811244859293E-2</c:v>
                </c:pt>
                <c:pt idx="313">
                  <c:v>-1.4704470460401639E-2</c:v>
                </c:pt>
                <c:pt idx="314">
                  <c:v>-1.2017349333973243E-2</c:v>
                </c:pt>
                <c:pt idx="315">
                  <c:v>-1.5938049350622749E-3</c:v>
                </c:pt>
                <c:pt idx="316">
                  <c:v>4.6887255073750356E-3</c:v>
                </c:pt>
                <c:pt idx="317">
                  <c:v>1.3097673288155812E-2</c:v>
                </c:pt>
                <c:pt idx="318">
                  <c:v>6.6800817065197401E-2</c:v>
                </c:pt>
                <c:pt idx="319">
                  <c:v>-5.78440082392437E-3</c:v>
                </c:pt>
                <c:pt idx="320">
                  <c:v>-4.4791245200197331E-3</c:v>
                </c:pt>
                <c:pt idx="321">
                  <c:v>-6.5810120243062738E-3</c:v>
                </c:pt>
                <c:pt idx="322">
                  <c:v>1.3832312507513789E-2</c:v>
                </c:pt>
                <c:pt idx="323">
                  <c:v>-1.7885574155173847E-3</c:v>
                </c:pt>
                <c:pt idx="324">
                  <c:v>8.1753515618637196E-3</c:v>
                </c:pt>
                <c:pt idx="325">
                  <c:v>-5.978582354108323E-3</c:v>
                </c:pt>
                <c:pt idx="326">
                  <c:v>8.2574675498519115E-3</c:v>
                </c:pt>
                <c:pt idx="327">
                  <c:v>-1.263285120992594E-2</c:v>
                </c:pt>
                <c:pt idx="328">
                  <c:v>-6.7751500321446617E-3</c:v>
                </c:pt>
                <c:pt idx="329">
                  <c:v>-1.0668822578723581E-2</c:v>
                </c:pt>
                <c:pt idx="330">
                  <c:v>-7.5702116657880309E-3</c:v>
                </c:pt>
                <c:pt idx="331">
                  <c:v>-2.1481924396032893E-3</c:v>
                </c:pt>
                <c:pt idx="332">
                  <c:v>-1.4503683744852435E-2</c:v>
                </c:pt>
                <c:pt idx="333">
                  <c:v>3.7697299597396704E-3</c:v>
                </c:pt>
                <c:pt idx="334">
                  <c:v>-1.3654878384362818E-2</c:v>
                </c:pt>
                <c:pt idx="335">
                  <c:v>7.653813685027825E-3</c:v>
                </c:pt>
                <c:pt idx="336">
                  <c:v>-7.2233800549717951E-3</c:v>
                </c:pt>
                <c:pt idx="337">
                  <c:v>7.933520053555786E-3</c:v>
                </c:pt>
                <c:pt idx="338">
                  <c:v>-3.2274461911099592E-3</c:v>
                </c:pt>
                <c:pt idx="339">
                  <c:v>-2.2963951466242707E-2</c:v>
                </c:pt>
                <c:pt idx="340">
                  <c:v>7.8127495002115032E-3</c:v>
                </c:pt>
                <c:pt idx="341">
                  <c:v>-1.0073326523665329E-2</c:v>
                </c:pt>
                <c:pt idx="342">
                  <c:v>-2.4007213321707807E-3</c:v>
                </c:pt>
                <c:pt idx="343">
                  <c:v>-2.4158883699827795E-2</c:v>
                </c:pt>
                <c:pt idx="344">
                  <c:v>1.394043161263203E-2</c:v>
                </c:pt>
                <c:pt idx="345">
                  <c:v>-1.0169012125563979E-2</c:v>
                </c:pt>
                <c:pt idx="346">
                  <c:v>-2.3666122968890799E-2</c:v>
                </c:pt>
                <c:pt idx="347">
                  <c:v>-1.6046362054545071E-2</c:v>
                </c:pt>
                <c:pt idx="348">
                  <c:v>9.3661067510618257E-2</c:v>
                </c:pt>
                <c:pt idx="349">
                  <c:v>-8.3908332045751991E-3</c:v>
                </c:pt>
                <c:pt idx="350">
                  <c:v>-8.8487663924584677E-3</c:v>
                </c:pt>
                <c:pt idx="351">
                  <c:v>-2.2342097931211904E-2</c:v>
                </c:pt>
                <c:pt idx="352">
                  <c:v>9.950061982110953E-3</c:v>
                </c:pt>
                <c:pt idx="353">
                  <c:v>-2.4812096064137514E-2</c:v>
                </c:pt>
                <c:pt idx="354">
                  <c:v>-1.460727025762232E-2</c:v>
                </c:pt>
                <c:pt idx="355">
                  <c:v>5.5655952666545331E-3</c:v>
                </c:pt>
                <c:pt idx="356">
                  <c:v>-6.1071830139046114E-3</c:v>
                </c:pt>
                <c:pt idx="357">
                  <c:v>-5.5514465114192054E-3</c:v>
                </c:pt>
                <c:pt idx="358">
                  <c:v>8.0666921118370243E-3</c:v>
                </c:pt>
                <c:pt idx="359">
                  <c:v>-9.164563889060456E-3</c:v>
                </c:pt>
                <c:pt idx="360">
                  <c:v>-1.2893371143898828E-3</c:v>
                </c:pt>
                <c:pt idx="361">
                  <c:v>2.0605454683973378E-3</c:v>
                </c:pt>
                <c:pt idx="362">
                  <c:v>-1.4055013983927949E-3</c:v>
                </c:pt>
                <c:pt idx="363">
                  <c:v>1.5574659357701973E-3</c:v>
                </c:pt>
                <c:pt idx="364">
                  <c:v>2.0299913158610339E-2</c:v>
                </c:pt>
                <c:pt idx="365">
                  <c:v>-4.1715181544226022E-2</c:v>
                </c:pt>
                <c:pt idx="366">
                  <c:v>-4.9578916440326047E-2</c:v>
                </c:pt>
                <c:pt idx="367">
                  <c:v>-6.6180199486816124E-2</c:v>
                </c:pt>
                <c:pt idx="368">
                  <c:v>0.16690512495023707</c:v>
                </c:pt>
                <c:pt idx="369">
                  <c:v>-5.1337859895744353E-4</c:v>
                </c:pt>
                <c:pt idx="370">
                  <c:v>-0.11080829942431884</c:v>
                </c:pt>
                <c:pt idx="371">
                  <c:v>-5.6449700273847193E-2</c:v>
                </c:pt>
                <c:pt idx="372">
                  <c:v>-3.2534615943955195E-2</c:v>
                </c:pt>
                <c:pt idx="373">
                  <c:v>0.13411749545045498</c:v>
                </c:pt>
                <c:pt idx="374">
                  <c:v>-5.1816992384912927E-2</c:v>
                </c:pt>
                <c:pt idx="375">
                  <c:v>-2.4063470846929128E-2</c:v>
                </c:pt>
                <c:pt idx="376">
                  <c:v>3.9418732086443795E-2</c:v>
                </c:pt>
                <c:pt idx="377">
                  <c:v>-9.7399622431016963E-2</c:v>
                </c:pt>
                <c:pt idx="378">
                  <c:v>1.9851677745551893E-2</c:v>
                </c:pt>
                <c:pt idx="379">
                  <c:v>-5.8118818069431873E-2</c:v>
                </c:pt>
                <c:pt idx="380">
                  <c:v>-3.2259949955772823E-3</c:v>
                </c:pt>
                <c:pt idx="381">
                  <c:v>-3.6639790577830969E-2</c:v>
                </c:pt>
                <c:pt idx="382">
                  <c:v>1.5919862252129748E-2</c:v>
                </c:pt>
                <c:pt idx="383">
                  <c:v>4.4840389962105015E-2</c:v>
                </c:pt>
                <c:pt idx="384">
                  <c:v>-9.2311638826606344E-3</c:v>
                </c:pt>
                <c:pt idx="385">
                  <c:v>-1.5219151984927255E-2</c:v>
                </c:pt>
                <c:pt idx="386">
                  <c:v>-4.8616018938521174E-2</c:v>
                </c:pt>
                <c:pt idx="387">
                  <c:v>-4.65318126623926E-3</c:v>
                </c:pt>
                <c:pt idx="388">
                  <c:v>3.9921581322581973E-2</c:v>
                </c:pt>
                <c:pt idx="389">
                  <c:v>5.3190547468648852E-3</c:v>
                </c:pt>
                <c:pt idx="390">
                  <c:v>2.0001898862643124E-2</c:v>
                </c:pt>
                <c:pt idx="391">
                  <c:v>-3.4292621214339444E-2</c:v>
                </c:pt>
                <c:pt idx="392">
                  <c:v>3.1398853973251158E-2</c:v>
                </c:pt>
                <c:pt idx="393">
                  <c:v>1.0145197181507138E-3</c:v>
                </c:pt>
                <c:pt idx="394">
                  <c:v>-2.3865996048605453E-2</c:v>
                </c:pt>
                <c:pt idx="395">
                  <c:v>-2.797779803855252E-2</c:v>
                </c:pt>
                <c:pt idx="396">
                  <c:v>-5.7095278310210374E-3</c:v>
                </c:pt>
                <c:pt idx="397">
                  <c:v>-2.2465048649994046E-2</c:v>
                </c:pt>
                <c:pt idx="398">
                  <c:v>-3.3374485894241961E-2</c:v>
                </c:pt>
                <c:pt idx="399">
                  <c:v>-1.7446289198059382E-2</c:v>
                </c:pt>
                <c:pt idx="400">
                  <c:v>5.2008590731455168E-2</c:v>
                </c:pt>
                <c:pt idx="401">
                  <c:v>4.3808701770325441E-2</c:v>
                </c:pt>
                <c:pt idx="402">
                  <c:v>-4.4648462098859946E-3</c:v>
                </c:pt>
                <c:pt idx="403">
                  <c:v>-3.2882471431344477E-2</c:v>
                </c:pt>
                <c:pt idx="404">
                  <c:v>-8.8538079222340846E-2</c:v>
                </c:pt>
                <c:pt idx="405">
                  <c:v>7.1367855370616431E-3</c:v>
                </c:pt>
                <c:pt idx="406">
                  <c:v>1.1091691240464609E-2</c:v>
                </c:pt>
                <c:pt idx="407">
                  <c:v>9.0458214114363528E-2</c:v>
                </c:pt>
                <c:pt idx="408">
                  <c:v>-1.6497209195466987E-3</c:v>
                </c:pt>
                <c:pt idx="409">
                  <c:v>-1.9797807328662619E-2</c:v>
                </c:pt>
                <c:pt idx="410">
                  <c:v>5.3446099792949793E-2</c:v>
                </c:pt>
                <c:pt idx="411">
                  <c:v>-1.083647686519828E-2</c:v>
                </c:pt>
                <c:pt idx="412">
                  <c:v>-2.2597341520854585E-2</c:v>
                </c:pt>
                <c:pt idx="413">
                  <c:v>-4.6244655320911668E-2</c:v>
                </c:pt>
                <c:pt idx="414">
                  <c:v>1.9042421734296541E-2</c:v>
                </c:pt>
              </c:numCache>
            </c:numRef>
          </c:val>
          <c:smooth val="0"/>
          <c:extLst>
            <c:ext xmlns:c16="http://schemas.microsoft.com/office/drawing/2014/chart" uri="{C3380CC4-5D6E-409C-BE32-E72D297353CC}">
              <c16:uniqueId val="{00000000-A867-8F47-A450-8C791D0E88CF}"/>
            </c:ext>
          </c:extLst>
        </c:ser>
        <c:dLbls>
          <c:showLegendKey val="0"/>
          <c:showVal val="0"/>
          <c:showCatName val="0"/>
          <c:showSerName val="0"/>
          <c:showPercent val="0"/>
          <c:showBubbleSize val="0"/>
        </c:dLbls>
        <c:smooth val="0"/>
        <c:axId val="1665965952"/>
        <c:axId val="1660170048"/>
      </c:lineChart>
      <c:dateAx>
        <c:axId val="1665965952"/>
        <c:scaling>
          <c:orientation val="minMax"/>
        </c:scaling>
        <c:delete val="0"/>
        <c:axPos val="b"/>
        <c:numFmt formatCode="m/d/yy" sourceLinked="0"/>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170048"/>
        <c:crossesAt val="-0.2"/>
        <c:auto val="1"/>
        <c:lblOffset val="100"/>
        <c:baseTimeUnit val="days"/>
      </c:dateAx>
      <c:valAx>
        <c:axId val="1660170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965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factors!$E$1</c:f>
              <c:strCache>
                <c:ptCount val="1"/>
                <c:pt idx="0">
                  <c:v>QE</c:v>
                </c:pt>
              </c:strCache>
            </c:strRef>
          </c:tx>
          <c:spPr>
            <a:ln w="25400" cap="rnd">
              <a:solidFill>
                <a:schemeClr val="accent1"/>
              </a:solidFill>
              <a:round/>
            </a:ln>
            <a:effectLst/>
          </c:spPr>
          <c:marker>
            <c:symbol val="none"/>
          </c:marker>
          <c:cat>
            <c:numRef>
              <c:f>factors!$A$2:$A$416</c:f>
              <c:numCache>
                <c:formatCode>m/d/yy\ h:mm</c:formatCode>
                <c:ptCount val="415"/>
                <c:pt idx="0">
                  <c:v>35587.458333333336</c:v>
                </c:pt>
                <c:pt idx="1">
                  <c:v>35621.458333333336</c:v>
                </c:pt>
                <c:pt idx="2">
                  <c:v>35649.458333333336</c:v>
                </c:pt>
                <c:pt idx="3">
                  <c:v>35655.395833333336</c:v>
                </c:pt>
                <c:pt idx="4">
                  <c:v>35684.458333333336</c:v>
                </c:pt>
                <c:pt idx="5">
                  <c:v>35712.458333333336</c:v>
                </c:pt>
                <c:pt idx="6">
                  <c:v>35740.5</c:v>
                </c:pt>
                <c:pt idx="7">
                  <c:v>35746.4375</c:v>
                </c:pt>
                <c:pt idx="8">
                  <c:v>35768.5</c:v>
                </c:pt>
                <c:pt idx="9">
                  <c:v>35803.5</c:v>
                </c:pt>
                <c:pt idx="10">
                  <c:v>35831.5</c:v>
                </c:pt>
                <c:pt idx="11">
                  <c:v>35837.4375</c:v>
                </c:pt>
                <c:pt idx="12">
                  <c:v>35859.5</c:v>
                </c:pt>
                <c:pt idx="13">
                  <c:v>35894.458333333336</c:v>
                </c:pt>
                <c:pt idx="14">
                  <c:v>35922.458333333336</c:v>
                </c:pt>
                <c:pt idx="15">
                  <c:v>35928.395833333336</c:v>
                </c:pt>
                <c:pt idx="16">
                  <c:v>35950.458333333336</c:v>
                </c:pt>
                <c:pt idx="17">
                  <c:v>36013.458333333336</c:v>
                </c:pt>
                <c:pt idx="18">
                  <c:v>36020.395833333336</c:v>
                </c:pt>
                <c:pt idx="19">
                  <c:v>36048.458333333336</c:v>
                </c:pt>
                <c:pt idx="20">
                  <c:v>36076.458333333336</c:v>
                </c:pt>
                <c:pt idx="21">
                  <c:v>36104.5</c:v>
                </c:pt>
                <c:pt idx="22">
                  <c:v>36110.4375</c:v>
                </c:pt>
                <c:pt idx="23">
                  <c:v>36139.5</c:v>
                </c:pt>
                <c:pt idx="24">
                  <c:v>36167.5</c:v>
                </c:pt>
                <c:pt idx="25">
                  <c:v>36195.5</c:v>
                </c:pt>
                <c:pt idx="26">
                  <c:v>36201.4375</c:v>
                </c:pt>
                <c:pt idx="27">
                  <c:v>36222.5</c:v>
                </c:pt>
                <c:pt idx="28">
                  <c:v>36258.458333333336</c:v>
                </c:pt>
                <c:pt idx="29">
                  <c:v>36286.458333333336</c:v>
                </c:pt>
                <c:pt idx="30">
                  <c:v>36292.395833333336</c:v>
                </c:pt>
                <c:pt idx="31">
                  <c:v>36321.458333333336</c:v>
                </c:pt>
                <c:pt idx="32">
                  <c:v>36349.458333333336</c:v>
                </c:pt>
                <c:pt idx="33">
                  <c:v>36377.458333333336</c:v>
                </c:pt>
                <c:pt idx="34">
                  <c:v>36383.395833333336</c:v>
                </c:pt>
                <c:pt idx="35">
                  <c:v>36411.458333333336</c:v>
                </c:pt>
                <c:pt idx="36">
                  <c:v>36440.458333333336</c:v>
                </c:pt>
                <c:pt idx="37">
                  <c:v>36468.5</c:v>
                </c:pt>
                <c:pt idx="38">
                  <c:v>36474.4375</c:v>
                </c:pt>
                <c:pt idx="39">
                  <c:v>36503.5</c:v>
                </c:pt>
                <c:pt idx="40">
                  <c:v>36538.5</c:v>
                </c:pt>
                <c:pt idx="41">
                  <c:v>36566.5</c:v>
                </c:pt>
                <c:pt idx="42">
                  <c:v>36573.4375</c:v>
                </c:pt>
                <c:pt idx="43">
                  <c:v>36594.5</c:v>
                </c:pt>
                <c:pt idx="44">
                  <c:v>36622.458333333336</c:v>
                </c:pt>
                <c:pt idx="45">
                  <c:v>36650.458333333336</c:v>
                </c:pt>
                <c:pt idx="46">
                  <c:v>36656.395833333336</c:v>
                </c:pt>
                <c:pt idx="47">
                  <c:v>36684.458333333336</c:v>
                </c:pt>
                <c:pt idx="48">
                  <c:v>36713.458333333336</c:v>
                </c:pt>
                <c:pt idx="49">
                  <c:v>36741.458333333336</c:v>
                </c:pt>
                <c:pt idx="50">
                  <c:v>36747.395833333336</c:v>
                </c:pt>
                <c:pt idx="51">
                  <c:v>36776.458333333336</c:v>
                </c:pt>
                <c:pt idx="52">
                  <c:v>36804.458333333336</c:v>
                </c:pt>
                <c:pt idx="53">
                  <c:v>36839.5</c:v>
                </c:pt>
                <c:pt idx="54">
                  <c:v>36846.4375</c:v>
                </c:pt>
                <c:pt idx="55">
                  <c:v>36867.5</c:v>
                </c:pt>
                <c:pt idx="56">
                  <c:v>36902.5</c:v>
                </c:pt>
                <c:pt idx="57">
                  <c:v>36930.5</c:v>
                </c:pt>
                <c:pt idx="58">
                  <c:v>36936.4375</c:v>
                </c:pt>
                <c:pt idx="59">
                  <c:v>36986.458333333336</c:v>
                </c:pt>
                <c:pt idx="60">
                  <c:v>37021.458333333336</c:v>
                </c:pt>
                <c:pt idx="61">
                  <c:v>37027.395833333336</c:v>
                </c:pt>
                <c:pt idx="62">
                  <c:v>37048.458333333336</c:v>
                </c:pt>
                <c:pt idx="63">
                  <c:v>37077.458333333336</c:v>
                </c:pt>
                <c:pt idx="64">
                  <c:v>37105.458333333336</c:v>
                </c:pt>
                <c:pt idx="65">
                  <c:v>37111.395833333336</c:v>
                </c:pt>
                <c:pt idx="66">
                  <c:v>37140.458333333336</c:v>
                </c:pt>
                <c:pt idx="67">
                  <c:v>37152.458333333336</c:v>
                </c:pt>
                <c:pt idx="68">
                  <c:v>37168.458333333336</c:v>
                </c:pt>
                <c:pt idx="69">
                  <c:v>37203.5</c:v>
                </c:pt>
                <c:pt idx="70">
                  <c:v>37209.4375</c:v>
                </c:pt>
                <c:pt idx="71">
                  <c:v>37230.5</c:v>
                </c:pt>
                <c:pt idx="72">
                  <c:v>37266.5</c:v>
                </c:pt>
                <c:pt idx="73">
                  <c:v>37294.5</c:v>
                </c:pt>
                <c:pt idx="74">
                  <c:v>37300.4375</c:v>
                </c:pt>
                <c:pt idx="75">
                  <c:v>37322.5</c:v>
                </c:pt>
                <c:pt idx="76">
                  <c:v>37350.458333333336</c:v>
                </c:pt>
                <c:pt idx="77">
                  <c:v>37385.458333333336</c:v>
                </c:pt>
                <c:pt idx="78">
                  <c:v>37391.395833333336</c:v>
                </c:pt>
                <c:pt idx="79">
                  <c:v>37413.458333333336</c:v>
                </c:pt>
                <c:pt idx="80">
                  <c:v>37441.458333333336</c:v>
                </c:pt>
                <c:pt idx="81">
                  <c:v>37469.458333333336</c:v>
                </c:pt>
                <c:pt idx="82">
                  <c:v>37475.395833333336</c:v>
                </c:pt>
                <c:pt idx="83">
                  <c:v>37504.458333333336</c:v>
                </c:pt>
                <c:pt idx="84">
                  <c:v>37539.458333333336</c:v>
                </c:pt>
                <c:pt idx="85">
                  <c:v>37567.5</c:v>
                </c:pt>
                <c:pt idx="86">
                  <c:v>37573.4375</c:v>
                </c:pt>
                <c:pt idx="87">
                  <c:v>37595.5</c:v>
                </c:pt>
                <c:pt idx="88">
                  <c:v>37630.5</c:v>
                </c:pt>
                <c:pt idx="89">
                  <c:v>37658.5</c:v>
                </c:pt>
                <c:pt idx="90">
                  <c:v>37664.4375</c:v>
                </c:pt>
                <c:pt idx="91">
                  <c:v>37686.5</c:v>
                </c:pt>
                <c:pt idx="92">
                  <c:v>37749.458333333336</c:v>
                </c:pt>
                <c:pt idx="93">
                  <c:v>37756.395833333336</c:v>
                </c:pt>
                <c:pt idx="94">
                  <c:v>37777.458333333336</c:v>
                </c:pt>
                <c:pt idx="95">
                  <c:v>37812.458333333336</c:v>
                </c:pt>
                <c:pt idx="96">
                  <c:v>37840.458333333336</c:v>
                </c:pt>
                <c:pt idx="97">
                  <c:v>37846.395833333336</c:v>
                </c:pt>
                <c:pt idx="98">
                  <c:v>37868.458333333336</c:v>
                </c:pt>
                <c:pt idx="99">
                  <c:v>37903.458333333336</c:v>
                </c:pt>
                <c:pt idx="100">
                  <c:v>37931.5</c:v>
                </c:pt>
                <c:pt idx="101">
                  <c:v>37937.4375</c:v>
                </c:pt>
                <c:pt idx="102">
                  <c:v>37959.5</c:v>
                </c:pt>
                <c:pt idx="103">
                  <c:v>37994.5</c:v>
                </c:pt>
                <c:pt idx="104">
                  <c:v>38022.5</c:v>
                </c:pt>
                <c:pt idx="105">
                  <c:v>38028.4375</c:v>
                </c:pt>
                <c:pt idx="106">
                  <c:v>38050.5</c:v>
                </c:pt>
                <c:pt idx="107">
                  <c:v>38085.458333333336</c:v>
                </c:pt>
                <c:pt idx="108">
                  <c:v>38113.458333333336</c:v>
                </c:pt>
                <c:pt idx="109">
                  <c:v>38119.395833333336</c:v>
                </c:pt>
                <c:pt idx="110">
                  <c:v>38148.458333333336</c:v>
                </c:pt>
                <c:pt idx="111">
                  <c:v>38176.458333333336</c:v>
                </c:pt>
                <c:pt idx="112">
                  <c:v>38204.458333333336</c:v>
                </c:pt>
                <c:pt idx="113">
                  <c:v>38210.395833333336</c:v>
                </c:pt>
                <c:pt idx="114">
                  <c:v>38239.458333333336</c:v>
                </c:pt>
                <c:pt idx="115">
                  <c:v>38267.458333333336</c:v>
                </c:pt>
                <c:pt idx="116">
                  <c:v>38295.5</c:v>
                </c:pt>
                <c:pt idx="117">
                  <c:v>38301.4375</c:v>
                </c:pt>
                <c:pt idx="118">
                  <c:v>38330.5</c:v>
                </c:pt>
                <c:pt idx="119">
                  <c:v>38365.5</c:v>
                </c:pt>
                <c:pt idx="120">
                  <c:v>38393.5</c:v>
                </c:pt>
                <c:pt idx="121">
                  <c:v>38399.4375</c:v>
                </c:pt>
                <c:pt idx="122">
                  <c:v>38421.5</c:v>
                </c:pt>
                <c:pt idx="123">
                  <c:v>38449.458333333336</c:v>
                </c:pt>
                <c:pt idx="124">
                  <c:v>38481.458333333336</c:v>
                </c:pt>
                <c:pt idx="125">
                  <c:v>38483.395833333336</c:v>
                </c:pt>
                <c:pt idx="126">
                  <c:v>38512.458333333336</c:v>
                </c:pt>
                <c:pt idx="127">
                  <c:v>38540.458333333336</c:v>
                </c:pt>
                <c:pt idx="128">
                  <c:v>38568.458333333336</c:v>
                </c:pt>
                <c:pt idx="129">
                  <c:v>38574.395833333336</c:v>
                </c:pt>
                <c:pt idx="130">
                  <c:v>38603.458333333336</c:v>
                </c:pt>
                <c:pt idx="131">
                  <c:v>38631.458333333336</c:v>
                </c:pt>
                <c:pt idx="132">
                  <c:v>38666.5</c:v>
                </c:pt>
                <c:pt idx="133">
                  <c:v>38672.4375</c:v>
                </c:pt>
                <c:pt idx="134">
                  <c:v>38694.5</c:v>
                </c:pt>
                <c:pt idx="135">
                  <c:v>38729.5</c:v>
                </c:pt>
                <c:pt idx="136">
                  <c:v>38757.5</c:v>
                </c:pt>
                <c:pt idx="137">
                  <c:v>38763.4375</c:v>
                </c:pt>
                <c:pt idx="138">
                  <c:v>38785.5</c:v>
                </c:pt>
                <c:pt idx="139">
                  <c:v>38813.458333333336</c:v>
                </c:pt>
                <c:pt idx="140">
                  <c:v>38841.458333333336</c:v>
                </c:pt>
                <c:pt idx="141">
                  <c:v>38847.395833333336</c:v>
                </c:pt>
                <c:pt idx="142">
                  <c:v>38876.458333333336</c:v>
                </c:pt>
                <c:pt idx="143">
                  <c:v>38904.458333333336</c:v>
                </c:pt>
                <c:pt idx="144">
                  <c:v>38932.458333333336</c:v>
                </c:pt>
                <c:pt idx="145">
                  <c:v>38938.395833333336</c:v>
                </c:pt>
                <c:pt idx="146">
                  <c:v>38967.458333333336</c:v>
                </c:pt>
                <c:pt idx="147">
                  <c:v>38995.458333333336</c:v>
                </c:pt>
                <c:pt idx="148">
                  <c:v>39030.5</c:v>
                </c:pt>
                <c:pt idx="149">
                  <c:v>39036.4375</c:v>
                </c:pt>
                <c:pt idx="150">
                  <c:v>39058.5</c:v>
                </c:pt>
                <c:pt idx="151">
                  <c:v>39093.5</c:v>
                </c:pt>
                <c:pt idx="152">
                  <c:v>39121.5</c:v>
                </c:pt>
                <c:pt idx="153">
                  <c:v>39127.4375</c:v>
                </c:pt>
                <c:pt idx="154">
                  <c:v>39149.5</c:v>
                </c:pt>
                <c:pt idx="155">
                  <c:v>39177.458333333336</c:v>
                </c:pt>
                <c:pt idx="156">
                  <c:v>39212.458333333336</c:v>
                </c:pt>
                <c:pt idx="157">
                  <c:v>39218.395833333336</c:v>
                </c:pt>
                <c:pt idx="158">
                  <c:v>39240.458333333336</c:v>
                </c:pt>
                <c:pt idx="159">
                  <c:v>39268.458333333336</c:v>
                </c:pt>
                <c:pt idx="160">
                  <c:v>39296.458333333336</c:v>
                </c:pt>
                <c:pt idx="161">
                  <c:v>39302.395833333336</c:v>
                </c:pt>
                <c:pt idx="162">
                  <c:v>39331.458333333336</c:v>
                </c:pt>
                <c:pt idx="163">
                  <c:v>39359.458333333336</c:v>
                </c:pt>
                <c:pt idx="164">
                  <c:v>39394.5</c:v>
                </c:pt>
                <c:pt idx="165">
                  <c:v>39400.4375</c:v>
                </c:pt>
                <c:pt idx="166">
                  <c:v>39422.5</c:v>
                </c:pt>
                <c:pt idx="167">
                  <c:v>39457.5</c:v>
                </c:pt>
                <c:pt idx="168">
                  <c:v>39485.5</c:v>
                </c:pt>
                <c:pt idx="169">
                  <c:v>39491.4375</c:v>
                </c:pt>
                <c:pt idx="170">
                  <c:v>39513.5</c:v>
                </c:pt>
                <c:pt idx="171">
                  <c:v>39548.458333333336</c:v>
                </c:pt>
                <c:pt idx="172">
                  <c:v>39576.458333333336</c:v>
                </c:pt>
                <c:pt idx="173">
                  <c:v>39582.395833333336</c:v>
                </c:pt>
                <c:pt idx="174">
                  <c:v>39604.458333333336</c:v>
                </c:pt>
                <c:pt idx="175">
                  <c:v>39639.458333333336</c:v>
                </c:pt>
                <c:pt idx="176">
                  <c:v>39667.458333333336</c:v>
                </c:pt>
                <c:pt idx="177">
                  <c:v>39673.395833333336</c:v>
                </c:pt>
                <c:pt idx="178">
                  <c:v>39695.458333333336</c:v>
                </c:pt>
                <c:pt idx="179">
                  <c:v>39729.458333333336</c:v>
                </c:pt>
                <c:pt idx="180">
                  <c:v>39758.5</c:v>
                </c:pt>
                <c:pt idx="181">
                  <c:v>39764.4375</c:v>
                </c:pt>
                <c:pt idx="182">
                  <c:v>39786.5</c:v>
                </c:pt>
                <c:pt idx="183">
                  <c:v>39821.5</c:v>
                </c:pt>
                <c:pt idx="184">
                  <c:v>39849.5</c:v>
                </c:pt>
                <c:pt idx="185">
                  <c:v>39855.4375</c:v>
                </c:pt>
                <c:pt idx="186">
                  <c:v>39877.5</c:v>
                </c:pt>
                <c:pt idx="187">
                  <c:v>39912.458333333336</c:v>
                </c:pt>
                <c:pt idx="188">
                  <c:v>39940.458333333336</c:v>
                </c:pt>
                <c:pt idx="189">
                  <c:v>39946.395833333336</c:v>
                </c:pt>
                <c:pt idx="190">
                  <c:v>39968.458333333336</c:v>
                </c:pt>
                <c:pt idx="191">
                  <c:v>40003.458333333336</c:v>
                </c:pt>
                <c:pt idx="192">
                  <c:v>40031.458333333336</c:v>
                </c:pt>
                <c:pt idx="193">
                  <c:v>40037.395833333336</c:v>
                </c:pt>
                <c:pt idx="194">
                  <c:v>40066.458333333336</c:v>
                </c:pt>
                <c:pt idx="195">
                  <c:v>40094.458333333336</c:v>
                </c:pt>
                <c:pt idx="196">
                  <c:v>40122.5</c:v>
                </c:pt>
                <c:pt idx="197">
                  <c:v>40128.4375</c:v>
                </c:pt>
                <c:pt idx="198">
                  <c:v>40157.5</c:v>
                </c:pt>
                <c:pt idx="199">
                  <c:v>40185.5</c:v>
                </c:pt>
                <c:pt idx="200">
                  <c:v>40213.5</c:v>
                </c:pt>
                <c:pt idx="201">
                  <c:v>40219.4375</c:v>
                </c:pt>
                <c:pt idx="202">
                  <c:v>40241.5</c:v>
                </c:pt>
                <c:pt idx="203">
                  <c:v>40276.458333333336</c:v>
                </c:pt>
                <c:pt idx="204">
                  <c:v>40308.458333333336</c:v>
                </c:pt>
                <c:pt idx="205">
                  <c:v>40310.395833333336</c:v>
                </c:pt>
                <c:pt idx="206">
                  <c:v>40339.458333333336</c:v>
                </c:pt>
                <c:pt idx="207">
                  <c:v>40367.458333333336</c:v>
                </c:pt>
                <c:pt idx="208">
                  <c:v>40395.458333333336</c:v>
                </c:pt>
                <c:pt idx="209">
                  <c:v>40401.395833333336</c:v>
                </c:pt>
                <c:pt idx="210">
                  <c:v>40430.458333333336</c:v>
                </c:pt>
                <c:pt idx="211">
                  <c:v>40458.458333333336</c:v>
                </c:pt>
                <c:pt idx="212">
                  <c:v>40486.5</c:v>
                </c:pt>
                <c:pt idx="213">
                  <c:v>40492.4375</c:v>
                </c:pt>
                <c:pt idx="214">
                  <c:v>40521.5</c:v>
                </c:pt>
                <c:pt idx="215">
                  <c:v>40556.5</c:v>
                </c:pt>
                <c:pt idx="216">
                  <c:v>40584.5</c:v>
                </c:pt>
                <c:pt idx="217">
                  <c:v>40590.4375</c:v>
                </c:pt>
                <c:pt idx="218">
                  <c:v>40612.5</c:v>
                </c:pt>
                <c:pt idx="219">
                  <c:v>40640.458333333336</c:v>
                </c:pt>
                <c:pt idx="220">
                  <c:v>40668.458333333336</c:v>
                </c:pt>
                <c:pt idx="221">
                  <c:v>40674.395833333336</c:v>
                </c:pt>
                <c:pt idx="222">
                  <c:v>40703.458333333336</c:v>
                </c:pt>
                <c:pt idx="223">
                  <c:v>40731.458333333336</c:v>
                </c:pt>
                <c:pt idx="224">
                  <c:v>40759.458333333336</c:v>
                </c:pt>
                <c:pt idx="225">
                  <c:v>40765.395833333336</c:v>
                </c:pt>
                <c:pt idx="226">
                  <c:v>40794.458333333336</c:v>
                </c:pt>
                <c:pt idx="227">
                  <c:v>40822.458333333336</c:v>
                </c:pt>
                <c:pt idx="228">
                  <c:v>40857.5</c:v>
                </c:pt>
                <c:pt idx="229">
                  <c:v>40863.4375</c:v>
                </c:pt>
                <c:pt idx="230">
                  <c:v>40885.5</c:v>
                </c:pt>
                <c:pt idx="231">
                  <c:v>40920.5</c:v>
                </c:pt>
                <c:pt idx="232">
                  <c:v>40948.5</c:v>
                </c:pt>
                <c:pt idx="233">
                  <c:v>40954.4375</c:v>
                </c:pt>
                <c:pt idx="234">
                  <c:v>40976.5</c:v>
                </c:pt>
                <c:pt idx="235">
                  <c:v>41004.458333333336</c:v>
                </c:pt>
                <c:pt idx="236">
                  <c:v>41039.458333333336</c:v>
                </c:pt>
                <c:pt idx="237">
                  <c:v>41045.395833333336</c:v>
                </c:pt>
                <c:pt idx="238">
                  <c:v>41067.458333333336</c:v>
                </c:pt>
                <c:pt idx="239">
                  <c:v>41095.458333333336</c:v>
                </c:pt>
                <c:pt idx="240">
                  <c:v>41123.458333333336</c:v>
                </c:pt>
                <c:pt idx="241">
                  <c:v>41129.395833333336</c:v>
                </c:pt>
                <c:pt idx="242">
                  <c:v>41158.458333333336</c:v>
                </c:pt>
                <c:pt idx="243">
                  <c:v>41186.458333333336</c:v>
                </c:pt>
                <c:pt idx="244">
                  <c:v>41221.5</c:v>
                </c:pt>
                <c:pt idx="245">
                  <c:v>41227.4375</c:v>
                </c:pt>
                <c:pt idx="246">
                  <c:v>41249.5</c:v>
                </c:pt>
                <c:pt idx="247">
                  <c:v>41284.5</c:v>
                </c:pt>
                <c:pt idx="248">
                  <c:v>41312.5</c:v>
                </c:pt>
                <c:pt idx="249">
                  <c:v>41318.4375</c:v>
                </c:pt>
                <c:pt idx="250">
                  <c:v>41340.5</c:v>
                </c:pt>
                <c:pt idx="251">
                  <c:v>41368.458333333336</c:v>
                </c:pt>
                <c:pt idx="252">
                  <c:v>41403.458333333336</c:v>
                </c:pt>
                <c:pt idx="253">
                  <c:v>41409.395833333336</c:v>
                </c:pt>
                <c:pt idx="254">
                  <c:v>41431.458333333336</c:v>
                </c:pt>
                <c:pt idx="255">
                  <c:v>41459.458333333336</c:v>
                </c:pt>
                <c:pt idx="256">
                  <c:v>41487.458333333336</c:v>
                </c:pt>
                <c:pt idx="257">
                  <c:v>41493.395833333336</c:v>
                </c:pt>
                <c:pt idx="258">
                  <c:v>41522.458333333336</c:v>
                </c:pt>
                <c:pt idx="259">
                  <c:v>41557.458333333336</c:v>
                </c:pt>
                <c:pt idx="260">
                  <c:v>41585.5</c:v>
                </c:pt>
                <c:pt idx="261">
                  <c:v>41591.4375</c:v>
                </c:pt>
                <c:pt idx="262">
                  <c:v>41613.5</c:v>
                </c:pt>
                <c:pt idx="263">
                  <c:v>41648.5</c:v>
                </c:pt>
                <c:pt idx="264">
                  <c:v>41676.5</c:v>
                </c:pt>
                <c:pt idx="265">
                  <c:v>41682.4375</c:v>
                </c:pt>
                <c:pt idx="266">
                  <c:v>41704.5</c:v>
                </c:pt>
                <c:pt idx="267">
                  <c:v>41739.458333333336</c:v>
                </c:pt>
                <c:pt idx="268">
                  <c:v>41767.458333333336</c:v>
                </c:pt>
                <c:pt idx="269">
                  <c:v>41773.395833333336</c:v>
                </c:pt>
                <c:pt idx="270">
                  <c:v>41795.458333333336</c:v>
                </c:pt>
                <c:pt idx="271">
                  <c:v>41830.458333333336</c:v>
                </c:pt>
                <c:pt idx="272">
                  <c:v>41858.458333333336</c:v>
                </c:pt>
                <c:pt idx="273">
                  <c:v>41864.395833333336</c:v>
                </c:pt>
                <c:pt idx="274">
                  <c:v>41886.458333333336</c:v>
                </c:pt>
                <c:pt idx="275">
                  <c:v>41921.458333333336</c:v>
                </c:pt>
                <c:pt idx="276">
                  <c:v>41949.5</c:v>
                </c:pt>
                <c:pt idx="277">
                  <c:v>41955.4375</c:v>
                </c:pt>
                <c:pt idx="278">
                  <c:v>41977.5</c:v>
                </c:pt>
                <c:pt idx="279">
                  <c:v>42012.5</c:v>
                </c:pt>
                <c:pt idx="280">
                  <c:v>42040.5</c:v>
                </c:pt>
                <c:pt idx="281">
                  <c:v>42047.4375</c:v>
                </c:pt>
                <c:pt idx="282">
                  <c:v>42068.5</c:v>
                </c:pt>
                <c:pt idx="283">
                  <c:v>42103.458333333336</c:v>
                </c:pt>
                <c:pt idx="284">
                  <c:v>42135.458333333336</c:v>
                </c:pt>
                <c:pt idx="285">
                  <c:v>42137.395833333336</c:v>
                </c:pt>
                <c:pt idx="286">
                  <c:v>42159.458333333336</c:v>
                </c:pt>
                <c:pt idx="287">
                  <c:v>42194.458333333336</c:v>
                </c:pt>
                <c:pt idx="288">
                  <c:v>42222.458333333336</c:v>
                </c:pt>
                <c:pt idx="289">
                  <c:v>42222.489583333336</c:v>
                </c:pt>
                <c:pt idx="290">
                  <c:v>42257.458333333336</c:v>
                </c:pt>
                <c:pt idx="291">
                  <c:v>42285.458333333336</c:v>
                </c:pt>
                <c:pt idx="292">
                  <c:v>42313.5</c:v>
                </c:pt>
                <c:pt idx="293">
                  <c:v>42313.53125</c:v>
                </c:pt>
                <c:pt idx="294">
                  <c:v>42348.5</c:v>
                </c:pt>
                <c:pt idx="295">
                  <c:v>42383.5</c:v>
                </c:pt>
                <c:pt idx="296">
                  <c:v>42404.5</c:v>
                </c:pt>
                <c:pt idx="297">
                  <c:v>42404.520833333336</c:v>
                </c:pt>
                <c:pt idx="298">
                  <c:v>42446.5</c:v>
                </c:pt>
                <c:pt idx="299">
                  <c:v>42474.458333333336</c:v>
                </c:pt>
                <c:pt idx="300">
                  <c:v>42502.458333333336</c:v>
                </c:pt>
                <c:pt idx="301">
                  <c:v>42502.479166666664</c:v>
                </c:pt>
                <c:pt idx="302">
                  <c:v>42537.458333333336</c:v>
                </c:pt>
                <c:pt idx="303">
                  <c:v>42565.458333333336</c:v>
                </c:pt>
                <c:pt idx="304">
                  <c:v>42586.458333333336</c:v>
                </c:pt>
                <c:pt idx="305">
                  <c:v>42586.479166666664</c:v>
                </c:pt>
                <c:pt idx="306">
                  <c:v>42628.458333333336</c:v>
                </c:pt>
                <c:pt idx="307">
                  <c:v>42677.5</c:v>
                </c:pt>
                <c:pt idx="308">
                  <c:v>42677.520833333336</c:v>
                </c:pt>
                <c:pt idx="309">
                  <c:v>42719.5</c:v>
                </c:pt>
                <c:pt idx="310">
                  <c:v>42768.5</c:v>
                </c:pt>
                <c:pt idx="311">
                  <c:v>42768.520833333336</c:v>
                </c:pt>
                <c:pt idx="312">
                  <c:v>42810.5</c:v>
                </c:pt>
                <c:pt idx="313">
                  <c:v>42866.458333333336</c:v>
                </c:pt>
                <c:pt idx="314">
                  <c:v>42866.479166666664</c:v>
                </c:pt>
                <c:pt idx="315">
                  <c:v>42901.458333333336</c:v>
                </c:pt>
                <c:pt idx="316">
                  <c:v>42950.458333333336</c:v>
                </c:pt>
                <c:pt idx="317">
                  <c:v>42950.479166666664</c:v>
                </c:pt>
                <c:pt idx="318">
                  <c:v>42992.458333333336</c:v>
                </c:pt>
                <c:pt idx="319">
                  <c:v>43041.5</c:v>
                </c:pt>
                <c:pt idx="320">
                  <c:v>43041.520833333336</c:v>
                </c:pt>
                <c:pt idx="321">
                  <c:v>43083.5</c:v>
                </c:pt>
                <c:pt idx="322">
                  <c:v>43139.5</c:v>
                </c:pt>
                <c:pt idx="323">
                  <c:v>43139.520833333336</c:v>
                </c:pt>
                <c:pt idx="324">
                  <c:v>43181.5</c:v>
                </c:pt>
                <c:pt idx="325">
                  <c:v>43230.458333333336</c:v>
                </c:pt>
                <c:pt idx="326">
                  <c:v>43230.479166666664</c:v>
                </c:pt>
                <c:pt idx="327">
                  <c:v>43272.458333333336</c:v>
                </c:pt>
                <c:pt idx="328">
                  <c:v>43314.458333333336</c:v>
                </c:pt>
                <c:pt idx="329">
                  <c:v>43314.479166666664</c:v>
                </c:pt>
                <c:pt idx="330">
                  <c:v>43356.458333333336</c:v>
                </c:pt>
                <c:pt idx="331">
                  <c:v>43405.5</c:v>
                </c:pt>
                <c:pt idx="332">
                  <c:v>43405.520833333336</c:v>
                </c:pt>
                <c:pt idx="333">
                  <c:v>43454.5</c:v>
                </c:pt>
                <c:pt idx="334">
                  <c:v>43503.5</c:v>
                </c:pt>
                <c:pt idx="335">
                  <c:v>43503.520833333336</c:v>
                </c:pt>
                <c:pt idx="336">
                  <c:v>43545.5</c:v>
                </c:pt>
                <c:pt idx="337">
                  <c:v>43587.458333333336</c:v>
                </c:pt>
                <c:pt idx="338">
                  <c:v>43587.479166666664</c:v>
                </c:pt>
                <c:pt idx="339">
                  <c:v>43636.458333333336</c:v>
                </c:pt>
                <c:pt idx="340">
                  <c:v>43678.458333333336</c:v>
                </c:pt>
                <c:pt idx="341">
                  <c:v>43678.479166666664</c:v>
                </c:pt>
                <c:pt idx="342">
                  <c:v>43727.458333333336</c:v>
                </c:pt>
                <c:pt idx="343">
                  <c:v>43776.5</c:v>
                </c:pt>
                <c:pt idx="344">
                  <c:v>43776.520833333336</c:v>
                </c:pt>
                <c:pt idx="345">
                  <c:v>43818.5</c:v>
                </c:pt>
                <c:pt idx="346">
                  <c:v>43860.5</c:v>
                </c:pt>
                <c:pt idx="347">
                  <c:v>43860.520833333336</c:v>
                </c:pt>
                <c:pt idx="348">
                  <c:v>43909.606249999997</c:v>
                </c:pt>
                <c:pt idx="349">
                  <c:v>43916.5</c:v>
                </c:pt>
                <c:pt idx="350">
                  <c:v>43958.3125</c:v>
                </c:pt>
                <c:pt idx="351">
                  <c:v>44000.458333333336</c:v>
                </c:pt>
                <c:pt idx="352">
                  <c:v>44049.3125</c:v>
                </c:pt>
                <c:pt idx="353">
                  <c:v>44091.458333333336</c:v>
                </c:pt>
                <c:pt idx="354">
                  <c:v>44140.333333333336</c:v>
                </c:pt>
                <c:pt idx="355">
                  <c:v>44182.5</c:v>
                </c:pt>
                <c:pt idx="356">
                  <c:v>44231.5</c:v>
                </c:pt>
                <c:pt idx="357">
                  <c:v>44231.541666666664</c:v>
                </c:pt>
                <c:pt idx="358">
                  <c:v>44273.5</c:v>
                </c:pt>
                <c:pt idx="359">
                  <c:v>44322.458333333336</c:v>
                </c:pt>
                <c:pt idx="360">
                  <c:v>44322.5</c:v>
                </c:pt>
                <c:pt idx="361">
                  <c:v>44371.458333333336</c:v>
                </c:pt>
                <c:pt idx="362">
                  <c:v>44413.458333333336</c:v>
                </c:pt>
                <c:pt idx="363">
                  <c:v>44413.5</c:v>
                </c:pt>
                <c:pt idx="364">
                  <c:v>44462.458333333336</c:v>
                </c:pt>
                <c:pt idx="365">
                  <c:v>44504.5</c:v>
                </c:pt>
                <c:pt idx="366">
                  <c:v>44504.520833333336</c:v>
                </c:pt>
                <c:pt idx="367">
                  <c:v>44546.5</c:v>
                </c:pt>
                <c:pt idx="368">
                  <c:v>44595.5</c:v>
                </c:pt>
                <c:pt idx="369">
                  <c:v>44595.520833333336</c:v>
                </c:pt>
                <c:pt idx="370">
                  <c:v>44637.5</c:v>
                </c:pt>
                <c:pt idx="371">
                  <c:v>44686.458333333336</c:v>
                </c:pt>
                <c:pt idx="372">
                  <c:v>44686.479166666664</c:v>
                </c:pt>
                <c:pt idx="373">
                  <c:v>44728.458333333336</c:v>
                </c:pt>
                <c:pt idx="374">
                  <c:v>44777.458333333336</c:v>
                </c:pt>
                <c:pt idx="375">
                  <c:v>44777.479166666664</c:v>
                </c:pt>
                <c:pt idx="376">
                  <c:v>44826.458333333336</c:v>
                </c:pt>
                <c:pt idx="377">
                  <c:v>44868.5</c:v>
                </c:pt>
                <c:pt idx="378">
                  <c:v>44868.520833333336</c:v>
                </c:pt>
                <c:pt idx="379">
                  <c:v>44910.5</c:v>
                </c:pt>
                <c:pt idx="380">
                  <c:v>44959.5</c:v>
                </c:pt>
                <c:pt idx="381">
                  <c:v>44959.520833333336</c:v>
                </c:pt>
                <c:pt idx="382">
                  <c:v>45008.5</c:v>
                </c:pt>
                <c:pt idx="383">
                  <c:v>45057.458333333336</c:v>
                </c:pt>
                <c:pt idx="384">
                  <c:v>45057.479166666664</c:v>
                </c:pt>
                <c:pt idx="385">
                  <c:v>45099.458333333336</c:v>
                </c:pt>
                <c:pt idx="386">
                  <c:v>45141.458333333336</c:v>
                </c:pt>
                <c:pt idx="387">
                  <c:v>45141.479166666664</c:v>
                </c:pt>
                <c:pt idx="388">
                  <c:v>45190.458333333336</c:v>
                </c:pt>
                <c:pt idx="389">
                  <c:v>45232.5</c:v>
                </c:pt>
                <c:pt idx="390">
                  <c:v>45232.520833333336</c:v>
                </c:pt>
                <c:pt idx="391">
                  <c:v>45274.5</c:v>
                </c:pt>
                <c:pt idx="392">
                  <c:v>45323.5</c:v>
                </c:pt>
                <c:pt idx="393">
                  <c:v>45323.520833333336</c:v>
                </c:pt>
                <c:pt idx="394">
                  <c:v>45372.5</c:v>
                </c:pt>
                <c:pt idx="395">
                  <c:v>45421.458333333336</c:v>
                </c:pt>
                <c:pt idx="396">
                  <c:v>45421.479166666664</c:v>
                </c:pt>
                <c:pt idx="397">
                  <c:v>45463.458333333336</c:v>
                </c:pt>
                <c:pt idx="398">
                  <c:v>45505.458333333336</c:v>
                </c:pt>
                <c:pt idx="399">
                  <c:v>45505.479166666664</c:v>
                </c:pt>
                <c:pt idx="400">
                  <c:v>45554.458333333336</c:v>
                </c:pt>
                <c:pt idx="401">
                  <c:v>45603.5</c:v>
                </c:pt>
                <c:pt idx="402">
                  <c:v>45603.520833333336</c:v>
                </c:pt>
                <c:pt idx="403">
                  <c:v>45645.5</c:v>
                </c:pt>
                <c:pt idx="404">
                  <c:v>45694.5</c:v>
                </c:pt>
                <c:pt idx="405">
                  <c:v>45694.520833333336</c:v>
                </c:pt>
                <c:pt idx="406">
                  <c:v>45736.5</c:v>
                </c:pt>
                <c:pt idx="407">
                  <c:v>45785.458333333336</c:v>
                </c:pt>
                <c:pt idx="408">
                  <c:v>45785.479166666664</c:v>
                </c:pt>
                <c:pt idx="409">
                  <c:v>45827.458333333336</c:v>
                </c:pt>
                <c:pt idx="410">
                  <c:v>45876.458333333336</c:v>
                </c:pt>
                <c:pt idx="411">
                  <c:v>45876.479166666664</c:v>
                </c:pt>
                <c:pt idx="412">
                  <c:v>45918.458333333336</c:v>
                </c:pt>
                <c:pt idx="413">
                  <c:v>45967.5</c:v>
                </c:pt>
                <c:pt idx="414">
                  <c:v>45967.520833333336</c:v>
                </c:pt>
              </c:numCache>
            </c:numRef>
          </c:cat>
          <c:val>
            <c:numRef>
              <c:f>factors!$E$2:$E$416</c:f>
              <c:numCache>
                <c:formatCode>General</c:formatCode>
                <c:ptCount val="415"/>
                <c:pt idx="0">
                  <c:v>-5.8653673527053769E-3</c:v>
                </c:pt>
                <c:pt idx="1">
                  <c:v>1.1546039160600237E-2</c:v>
                </c:pt>
                <c:pt idx="2">
                  <c:v>-4.2270314751171177E-2</c:v>
                </c:pt>
                <c:pt idx="3">
                  <c:v>-9.4830002422494897E-3</c:v>
                </c:pt>
                <c:pt idx="4">
                  <c:v>-5.7347722618281078E-3</c:v>
                </c:pt>
                <c:pt idx="5">
                  <c:v>-2.2338064913828701E-2</c:v>
                </c:pt>
                <c:pt idx="6">
                  <c:v>-4.9143304923547897E-2</c:v>
                </c:pt>
                <c:pt idx="7">
                  <c:v>-8.6805694683320563E-3</c:v>
                </c:pt>
                <c:pt idx="8">
                  <c:v>-8.8158017006962209E-4</c:v>
                </c:pt>
                <c:pt idx="9">
                  <c:v>-9.3960676697691801E-4</c:v>
                </c:pt>
                <c:pt idx="10">
                  <c:v>-6.1284235596564323E-3</c:v>
                </c:pt>
                <c:pt idx="11">
                  <c:v>1.259072612019675E-2</c:v>
                </c:pt>
                <c:pt idx="12">
                  <c:v>8.9551672408547823E-3</c:v>
                </c:pt>
                <c:pt idx="13">
                  <c:v>2.804775116206915E-3</c:v>
                </c:pt>
                <c:pt idx="14">
                  <c:v>-1.5457456251129285E-2</c:v>
                </c:pt>
                <c:pt idx="15">
                  <c:v>-5.6541960786599217E-3</c:v>
                </c:pt>
                <c:pt idx="16">
                  <c:v>-4.8340394553129426E-2</c:v>
                </c:pt>
                <c:pt idx="17">
                  <c:v>-1.8038791098662844E-2</c:v>
                </c:pt>
                <c:pt idx="18">
                  <c:v>-3.6654932287139754E-3</c:v>
                </c:pt>
                <c:pt idx="19">
                  <c:v>-1.9961412772686385E-2</c:v>
                </c:pt>
                <c:pt idx="20">
                  <c:v>6.5871067648859659E-3</c:v>
                </c:pt>
                <c:pt idx="21">
                  <c:v>-4.0997815596247662E-2</c:v>
                </c:pt>
                <c:pt idx="22">
                  <c:v>5.8854038658168441E-2</c:v>
                </c:pt>
                <c:pt idx="23">
                  <c:v>1.1540007365733186E-2</c:v>
                </c:pt>
                <c:pt idx="24">
                  <c:v>3.2793839176499272E-2</c:v>
                </c:pt>
                <c:pt idx="25">
                  <c:v>-2.6850794727241854E-2</c:v>
                </c:pt>
                <c:pt idx="26">
                  <c:v>3.0186490292780432E-2</c:v>
                </c:pt>
                <c:pt idx="27">
                  <c:v>3.2595397730607302E-2</c:v>
                </c:pt>
                <c:pt idx="28">
                  <c:v>-1.5125348017366201E-2</c:v>
                </c:pt>
                <c:pt idx="29">
                  <c:v>-9.7897521050414864E-3</c:v>
                </c:pt>
                <c:pt idx="30">
                  <c:v>1.0653613723764726E-2</c:v>
                </c:pt>
                <c:pt idx="31">
                  <c:v>4.1311684241361321E-2</c:v>
                </c:pt>
                <c:pt idx="32">
                  <c:v>1.475106965535384E-3</c:v>
                </c:pt>
                <c:pt idx="33">
                  <c:v>2.9837758017905051E-2</c:v>
                </c:pt>
                <c:pt idx="34">
                  <c:v>-2.6523331361230879E-2</c:v>
                </c:pt>
                <c:pt idx="35">
                  <c:v>3.7064694016599287E-2</c:v>
                </c:pt>
                <c:pt idx="36">
                  <c:v>4.5777990499869188E-4</c:v>
                </c:pt>
                <c:pt idx="37">
                  <c:v>-1.9180385327758093E-2</c:v>
                </c:pt>
                <c:pt idx="38">
                  <c:v>-3.1292098583624432E-3</c:v>
                </c:pt>
                <c:pt idx="39">
                  <c:v>-2.1353628991958987E-2</c:v>
                </c:pt>
                <c:pt idx="40">
                  <c:v>1.9261269576557261E-2</c:v>
                </c:pt>
                <c:pt idx="41">
                  <c:v>-1.3696781277647315E-2</c:v>
                </c:pt>
                <c:pt idx="42">
                  <c:v>-1.6722604717084432E-2</c:v>
                </c:pt>
                <c:pt idx="43">
                  <c:v>4.0275857265999098E-3</c:v>
                </c:pt>
                <c:pt idx="44">
                  <c:v>9.5143646610536987E-3</c:v>
                </c:pt>
                <c:pt idx="45">
                  <c:v>1.4639658191193615E-2</c:v>
                </c:pt>
                <c:pt idx="46">
                  <c:v>-6.9506824805604219E-3</c:v>
                </c:pt>
                <c:pt idx="47">
                  <c:v>8.4930086108878696E-3</c:v>
                </c:pt>
                <c:pt idx="48">
                  <c:v>-4.8473203997903764E-4</c:v>
                </c:pt>
                <c:pt idx="49">
                  <c:v>-7.2422805874669339E-3</c:v>
                </c:pt>
                <c:pt idx="50">
                  <c:v>-9.6344597875185241E-3</c:v>
                </c:pt>
                <c:pt idx="51">
                  <c:v>9.0150229210163666E-3</c:v>
                </c:pt>
                <c:pt idx="52">
                  <c:v>1.177961615716573E-2</c:v>
                </c:pt>
                <c:pt idx="53">
                  <c:v>3.196951172847315E-3</c:v>
                </c:pt>
                <c:pt idx="54">
                  <c:v>1.3908955170436686E-3</c:v>
                </c:pt>
                <c:pt idx="55">
                  <c:v>-4.8025049071862827E-3</c:v>
                </c:pt>
                <c:pt idx="56">
                  <c:v>-1.1966030173582776E-2</c:v>
                </c:pt>
                <c:pt idx="57">
                  <c:v>8.4207743201712322E-3</c:v>
                </c:pt>
                <c:pt idx="58">
                  <c:v>5.0905263434135317E-3</c:v>
                </c:pt>
                <c:pt idx="59">
                  <c:v>8.3099109393635212E-3</c:v>
                </c:pt>
                <c:pt idx="60">
                  <c:v>-1.033794589683114E-2</c:v>
                </c:pt>
                <c:pt idx="61">
                  <c:v>-4.1169836156672813E-3</c:v>
                </c:pt>
                <c:pt idx="62">
                  <c:v>1.7722069199935389E-3</c:v>
                </c:pt>
                <c:pt idx="63">
                  <c:v>1.365496324126414E-4</c:v>
                </c:pt>
                <c:pt idx="64">
                  <c:v>4.0265103404595694E-2</c:v>
                </c:pt>
                <c:pt idx="65">
                  <c:v>-3.1335216542532161E-3</c:v>
                </c:pt>
                <c:pt idx="66">
                  <c:v>-8.3871037129815574E-4</c:v>
                </c:pt>
                <c:pt idx="67">
                  <c:v>-1.6848744552207702E-2</c:v>
                </c:pt>
                <c:pt idx="68">
                  <c:v>-9.2469875482017391E-3</c:v>
                </c:pt>
                <c:pt idx="69">
                  <c:v>4.79654339600088E-3</c:v>
                </c:pt>
                <c:pt idx="70">
                  <c:v>2.5985953820402585E-2</c:v>
                </c:pt>
                <c:pt idx="71">
                  <c:v>3.0852170860038576E-3</c:v>
                </c:pt>
                <c:pt idx="72">
                  <c:v>-5.166579026859997E-3</c:v>
                </c:pt>
                <c:pt idx="73">
                  <c:v>-4.9498096705064606E-3</c:v>
                </c:pt>
                <c:pt idx="74">
                  <c:v>-6.9000584415280586E-3</c:v>
                </c:pt>
                <c:pt idx="75">
                  <c:v>-1.8063029781739438E-3</c:v>
                </c:pt>
                <c:pt idx="76">
                  <c:v>5.0351912448607311E-3</c:v>
                </c:pt>
                <c:pt idx="77">
                  <c:v>2.2195443473039399E-3</c:v>
                </c:pt>
                <c:pt idx="78">
                  <c:v>-4.3027563014622783E-3</c:v>
                </c:pt>
                <c:pt idx="79">
                  <c:v>7.4764189168350943E-3</c:v>
                </c:pt>
                <c:pt idx="80">
                  <c:v>5.6719139897497325E-3</c:v>
                </c:pt>
                <c:pt idx="81">
                  <c:v>2.1440921630131905E-4</c:v>
                </c:pt>
                <c:pt idx="82">
                  <c:v>-1.0688439295972229E-2</c:v>
                </c:pt>
                <c:pt idx="83">
                  <c:v>-1.9065784324352655E-3</c:v>
                </c:pt>
                <c:pt idx="84">
                  <c:v>4.00630337889968E-3</c:v>
                </c:pt>
                <c:pt idx="85">
                  <c:v>5.6806092747543186E-4</c:v>
                </c:pt>
                <c:pt idx="86">
                  <c:v>-4.2793628839694446E-3</c:v>
                </c:pt>
                <c:pt idx="87">
                  <c:v>-2.0538447522577825E-3</c:v>
                </c:pt>
                <c:pt idx="88">
                  <c:v>-1.9593777840666259E-3</c:v>
                </c:pt>
                <c:pt idx="89">
                  <c:v>-2.0705844116907027E-2</c:v>
                </c:pt>
                <c:pt idx="90">
                  <c:v>-4.3526974986897058E-3</c:v>
                </c:pt>
                <c:pt idx="91">
                  <c:v>-8.4755326392285477E-3</c:v>
                </c:pt>
                <c:pt idx="92">
                  <c:v>-1.8222154838570027E-2</c:v>
                </c:pt>
                <c:pt idx="93">
                  <c:v>-6.7420761219982818E-3</c:v>
                </c:pt>
                <c:pt idx="94">
                  <c:v>-9.2460466774188666E-3</c:v>
                </c:pt>
                <c:pt idx="95">
                  <c:v>2.5982943333841741E-3</c:v>
                </c:pt>
                <c:pt idx="96">
                  <c:v>-6.793427556554205E-3</c:v>
                </c:pt>
                <c:pt idx="97">
                  <c:v>-2.1403888614186209E-3</c:v>
                </c:pt>
                <c:pt idx="98">
                  <c:v>4.3317216672291705E-3</c:v>
                </c:pt>
                <c:pt idx="99">
                  <c:v>-3.7197075526152366E-3</c:v>
                </c:pt>
                <c:pt idx="100">
                  <c:v>-2.1697488683724047E-2</c:v>
                </c:pt>
                <c:pt idx="101">
                  <c:v>-4.8395510183528497E-3</c:v>
                </c:pt>
                <c:pt idx="102">
                  <c:v>3.1200037971493313E-5</c:v>
                </c:pt>
                <c:pt idx="103">
                  <c:v>-4.1960459527176268E-3</c:v>
                </c:pt>
                <c:pt idx="104">
                  <c:v>1.2671975347840661E-2</c:v>
                </c:pt>
                <c:pt idx="105">
                  <c:v>7.9308560014468878E-3</c:v>
                </c:pt>
                <c:pt idx="106">
                  <c:v>9.5155777268206964E-3</c:v>
                </c:pt>
                <c:pt idx="107">
                  <c:v>2.162741617803652E-2</c:v>
                </c:pt>
                <c:pt idx="108">
                  <c:v>8.193979562818374E-3</c:v>
                </c:pt>
                <c:pt idx="109">
                  <c:v>-9.1297143394044634E-3</c:v>
                </c:pt>
                <c:pt idx="110">
                  <c:v>-8.9665608800064585E-3</c:v>
                </c:pt>
                <c:pt idx="111">
                  <c:v>7.0077974056447674E-3</c:v>
                </c:pt>
                <c:pt idx="112">
                  <c:v>2.4931809016448363E-3</c:v>
                </c:pt>
                <c:pt idx="113">
                  <c:v>-1.517729291437791E-2</c:v>
                </c:pt>
                <c:pt idx="114">
                  <c:v>8.166932109846982E-4</c:v>
                </c:pt>
                <c:pt idx="115">
                  <c:v>-1.0539965505549586E-3</c:v>
                </c:pt>
                <c:pt idx="116">
                  <c:v>-3.5877051595758248E-3</c:v>
                </c:pt>
                <c:pt idx="117">
                  <c:v>-3.2612392126929922E-2</c:v>
                </c:pt>
                <c:pt idx="118">
                  <c:v>-1.7926755649672499E-2</c:v>
                </c:pt>
                <c:pt idx="119">
                  <c:v>-3.228036790448671E-3</c:v>
                </c:pt>
                <c:pt idx="120">
                  <c:v>1.6123213574451433E-3</c:v>
                </c:pt>
                <c:pt idx="121">
                  <c:v>-1.9947402378386738E-2</c:v>
                </c:pt>
                <c:pt idx="122">
                  <c:v>2.8073206227505931E-3</c:v>
                </c:pt>
                <c:pt idx="123">
                  <c:v>-3.1286917048603813E-3</c:v>
                </c:pt>
                <c:pt idx="124">
                  <c:v>3.9228123319E-3</c:v>
                </c:pt>
                <c:pt idx="125">
                  <c:v>-1.5371350116414134E-2</c:v>
                </c:pt>
                <c:pt idx="126">
                  <c:v>-6.4470532392176148E-3</c:v>
                </c:pt>
                <c:pt idx="127">
                  <c:v>5.0836699352075874E-3</c:v>
                </c:pt>
                <c:pt idx="128">
                  <c:v>1.2375444418603267E-3</c:v>
                </c:pt>
                <c:pt idx="129">
                  <c:v>1.0175317545783668E-2</c:v>
                </c:pt>
                <c:pt idx="130">
                  <c:v>-1.3629515823861061E-2</c:v>
                </c:pt>
                <c:pt idx="131">
                  <c:v>3.1443965987549504E-3</c:v>
                </c:pt>
                <c:pt idx="132">
                  <c:v>-2.5169427889250729E-4</c:v>
                </c:pt>
                <c:pt idx="133">
                  <c:v>-1.1965708337208352E-2</c:v>
                </c:pt>
                <c:pt idx="134">
                  <c:v>-2.0167822818464814E-3</c:v>
                </c:pt>
                <c:pt idx="135">
                  <c:v>-1.5671279838055413E-2</c:v>
                </c:pt>
                <c:pt idx="136">
                  <c:v>-6.6326674676936877E-3</c:v>
                </c:pt>
                <c:pt idx="137">
                  <c:v>1.2818564615605814E-2</c:v>
                </c:pt>
                <c:pt idx="138">
                  <c:v>7.8974903991182194E-3</c:v>
                </c:pt>
                <c:pt idx="139">
                  <c:v>1.0119620943150196E-2</c:v>
                </c:pt>
                <c:pt idx="140">
                  <c:v>-1.8541370087549362E-2</c:v>
                </c:pt>
                <c:pt idx="141">
                  <c:v>-1.0054364290470115E-2</c:v>
                </c:pt>
                <c:pt idx="142">
                  <c:v>-7.9319149272226108E-5</c:v>
                </c:pt>
                <c:pt idx="143">
                  <c:v>-3.9035729103383174E-3</c:v>
                </c:pt>
                <c:pt idx="144">
                  <c:v>1.0429247812899731E-2</c:v>
                </c:pt>
                <c:pt idx="145">
                  <c:v>-1.3738192700836167E-2</c:v>
                </c:pt>
                <c:pt idx="146">
                  <c:v>2.4193381215510488E-3</c:v>
                </c:pt>
                <c:pt idx="147">
                  <c:v>-9.2457806689852824E-3</c:v>
                </c:pt>
                <c:pt idx="148">
                  <c:v>-5.739613713237759E-3</c:v>
                </c:pt>
                <c:pt idx="149">
                  <c:v>-2.2600844597225689E-3</c:v>
                </c:pt>
                <c:pt idx="150">
                  <c:v>1.7070691954722752E-3</c:v>
                </c:pt>
                <c:pt idx="151">
                  <c:v>1.8894393548067882E-2</c:v>
                </c:pt>
                <c:pt idx="152">
                  <c:v>9.3155293232801101E-4</c:v>
                </c:pt>
                <c:pt idx="153">
                  <c:v>1.0127855528673096E-2</c:v>
                </c:pt>
                <c:pt idx="154">
                  <c:v>-2.130025340196282E-3</c:v>
                </c:pt>
                <c:pt idx="155">
                  <c:v>-5.4358556474612746E-3</c:v>
                </c:pt>
                <c:pt idx="156">
                  <c:v>6.0246014869540891E-3</c:v>
                </c:pt>
                <c:pt idx="157">
                  <c:v>2.6362865177008382E-3</c:v>
                </c:pt>
                <c:pt idx="158">
                  <c:v>3.967185261371688E-3</c:v>
                </c:pt>
                <c:pt idx="159">
                  <c:v>4.9403995463859303E-3</c:v>
                </c:pt>
                <c:pt idx="160">
                  <c:v>-5.6003352379474357E-3</c:v>
                </c:pt>
                <c:pt idx="161">
                  <c:v>1.3855734273538131E-2</c:v>
                </c:pt>
                <c:pt idx="162">
                  <c:v>-2.7132062175726584E-3</c:v>
                </c:pt>
                <c:pt idx="163">
                  <c:v>-9.9049447102244996E-3</c:v>
                </c:pt>
                <c:pt idx="164">
                  <c:v>-5.6280556000773106E-3</c:v>
                </c:pt>
                <c:pt idx="165">
                  <c:v>-5.6289084447208385E-3</c:v>
                </c:pt>
                <c:pt idx="166">
                  <c:v>-7.4981091359601244E-3</c:v>
                </c:pt>
                <c:pt idx="167">
                  <c:v>4.6673741639415688E-3</c:v>
                </c:pt>
                <c:pt idx="168">
                  <c:v>7.2298132134935474E-3</c:v>
                </c:pt>
                <c:pt idx="169">
                  <c:v>-1.3185876794547533E-2</c:v>
                </c:pt>
                <c:pt idx="170">
                  <c:v>7.2125883448921381E-3</c:v>
                </c:pt>
                <c:pt idx="171">
                  <c:v>-1.5600020799020087E-2</c:v>
                </c:pt>
                <c:pt idx="172">
                  <c:v>6.3916635716946505E-4</c:v>
                </c:pt>
                <c:pt idx="173">
                  <c:v>-1.1926883058616795E-2</c:v>
                </c:pt>
                <c:pt idx="174">
                  <c:v>7.1307806588627161E-5</c:v>
                </c:pt>
                <c:pt idx="175">
                  <c:v>1.6129149790910659E-2</c:v>
                </c:pt>
                <c:pt idx="176">
                  <c:v>2.3593624572662286E-3</c:v>
                </c:pt>
                <c:pt idx="177">
                  <c:v>-4.555351577671557E-2</c:v>
                </c:pt>
                <c:pt idx="178">
                  <c:v>-1.4099977497072662E-2</c:v>
                </c:pt>
                <c:pt idx="179">
                  <c:v>1.4800792032628261E-2</c:v>
                </c:pt>
                <c:pt idx="180">
                  <c:v>6.8107364965385594E-2</c:v>
                </c:pt>
                <c:pt idx="181">
                  <c:v>-6.9701763377021109E-3</c:v>
                </c:pt>
                <c:pt idx="182">
                  <c:v>2.773856320375423E-2</c:v>
                </c:pt>
                <c:pt idx="183">
                  <c:v>-2.2102703269393741E-2</c:v>
                </c:pt>
                <c:pt idx="184">
                  <c:v>5.8029629270935669E-3</c:v>
                </c:pt>
                <c:pt idx="185">
                  <c:v>-0.13822502111253199</c:v>
                </c:pt>
                <c:pt idx="186">
                  <c:v>-9.1192608638114306E-2</c:v>
                </c:pt>
                <c:pt idx="187">
                  <c:v>1.3732323946360557E-2</c:v>
                </c:pt>
                <c:pt idx="188">
                  <c:v>-9.7028475883734977E-2</c:v>
                </c:pt>
                <c:pt idx="189">
                  <c:v>-4.1864936867998727E-2</c:v>
                </c:pt>
                <c:pt idx="190">
                  <c:v>1.5249450609264454E-2</c:v>
                </c:pt>
                <c:pt idx="191">
                  <c:v>0.1047490346331794</c:v>
                </c:pt>
                <c:pt idx="192">
                  <c:v>-0.13841738319210833</c:v>
                </c:pt>
                <c:pt idx="193">
                  <c:v>-1.1882784953026148E-2</c:v>
                </c:pt>
                <c:pt idx="194">
                  <c:v>-1.6299887996313312E-2</c:v>
                </c:pt>
                <c:pt idx="195">
                  <c:v>5.7354254174620698E-3</c:v>
                </c:pt>
                <c:pt idx="196">
                  <c:v>6.4753976719950701E-2</c:v>
                </c:pt>
                <c:pt idx="197">
                  <c:v>-3.1766528586596531E-2</c:v>
                </c:pt>
                <c:pt idx="198">
                  <c:v>3.7439831869170326E-2</c:v>
                </c:pt>
                <c:pt idx="199">
                  <c:v>1.5311693744483146E-2</c:v>
                </c:pt>
                <c:pt idx="200">
                  <c:v>6.8828630318819625E-2</c:v>
                </c:pt>
                <c:pt idx="201">
                  <c:v>-9.7262151430971874E-2</c:v>
                </c:pt>
                <c:pt idx="202">
                  <c:v>-7.848868250408883E-3</c:v>
                </c:pt>
                <c:pt idx="203">
                  <c:v>1.2323095405674406E-3</c:v>
                </c:pt>
                <c:pt idx="204">
                  <c:v>3.8704887054718112E-2</c:v>
                </c:pt>
                <c:pt idx="205">
                  <c:v>-1.1086091521792438E-2</c:v>
                </c:pt>
                <c:pt idx="206">
                  <c:v>-8.6723629120071099E-3</c:v>
                </c:pt>
                <c:pt idx="207">
                  <c:v>3.3280143648574114E-3</c:v>
                </c:pt>
                <c:pt idx="208">
                  <c:v>5.6963270049732338E-3</c:v>
                </c:pt>
                <c:pt idx="209">
                  <c:v>-3.0744277753962462E-2</c:v>
                </c:pt>
                <c:pt idx="210">
                  <c:v>1.6977172924943114E-2</c:v>
                </c:pt>
                <c:pt idx="211">
                  <c:v>1.3755339246924221E-2</c:v>
                </c:pt>
                <c:pt idx="212">
                  <c:v>7.6769709107915281E-3</c:v>
                </c:pt>
                <c:pt idx="213">
                  <c:v>8.6793750355752916E-2</c:v>
                </c:pt>
                <c:pt idx="214">
                  <c:v>-1.4473962014495661E-3</c:v>
                </c:pt>
                <c:pt idx="215">
                  <c:v>1.366519876610589E-2</c:v>
                </c:pt>
                <c:pt idx="216">
                  <c:v>2.1596710677186583E-2</c:v>
                </c:pt>
                <c:pt idx="217">
                  <c:v>-3.1834542931942232E-2</c:v>
                </c:pt>
                <c:pt idx="218">
                  <c:v>-3.1535724605266857E-3</c:v>
                </c:pt>
                <c:pt idx="219">
                  <c:v>4.7258134706120811E-3</c:v>
                </c:pt>
                <c:pt idx="220">
                  <c:v>1.1115597093996146E-2</c:v>
                </c:pt>
                <c:pt idx="221">
                  <c:v>3.6760287965589618E-2</c:v>
                </c:pt>
                <c:pt idx="222">
                  <c:v>-2.7438998070159664E-3</c:v>
                </c:pt>
                <c:pt idx="223">
                  <c:v>-5.7023718603195096E-3</c:v>
                </c:pt>
                <c:pt idx="224">
                  <c:v>-4.3640115074437547E-3</c:v>
                </c:pt>
                <c:pt idx="225">
                  <c:v>-2.5734688060397606E-2</c:v>
                </c:pt>
                <c:pt idx="226">
                  <c:v>1.6657727643417226E-2</c:v>
                </c:pt>
                <c:pt idx="227">
                  <c:v>-6.6255723700273356E-2</c:v>
                </c:pt>
                <c:pt idx="228">
                  <c:v>1.953650642961655E-4</c:v>
                </c:pt>
                <c:pt idx="229">
                  <c:v>-5.0953058407660609E-2</c:v>
                </c:pt>
                <c:pt idx="230">
                  <c:v>-1.0768049935602613E-2</c:v>
                </c:pt>
                <c:pt idx="231">
                  <c:v>6.1100503011685776E-3</c:v>
                </c:pt>
                <c:pt idx="232">
                  <c:v>-6.7168916812815702E-3</c:v>
                </c:pt>
                <c:pt idx="233">
                  <c:v>8.1040934351977022E-3</c:v>
                </c:pt>
                <c:pt idx="234">
                  <c:v>9.3644770147263447E-3</c:v>
                </c:pt>
                <c:pt idx="235">
                  <c:v>7.3386995935959898E-3</c:v>
                </c:pt>
                <c:pt idx="236">
                  <c:v>2.5712481308250108E-2</c:v>
                </c:pt>
                <c:pt idx="237">
                  <c:v>-3.9271770509119418E-2</c:v>
                </c:pt>
                <c:pt idx="238">
                  <c:v>4.5473704615427463E-2</c:v>
                </c:pt>
                <c:pt idx="239">
                  <c:v>4.9634070257134379E-2</c:v>
                </c:pt>
                <c:pt idx="240">
                  <c:v>-1.5407302031374165E-2</c:v>
                </c:pt>
                <c:pt idx="241">
                  <c:v>-2.7564274094108313E-3</c:v>
                </c:pt>
                <c:pt idx="242">
                  <c:v>1.7443219102942127E-3</c:v>
                </c:pt>
                <c:pt idx="243">
                  <c:v>1.973386016787336E-3</c:v>
                </c:pt>
                <c:pt idx="244">
                  <c:v>3.0215273245916507E-2</c:v>
                </c:pt>
                <c:pt idx="245">
                  <c:v>-1.3119291843384709E-2</c:v>
                </c:pt>
                <c:pt idx="246">
                  <c:v>-4.6627492219226477E-3</c:v>
                </c:pt>
                <c:pt idx="247">
                  <c:v>-1.5023232299605331E-3</c:v>
                </c:pt>
                <c:pt idx="248">
                  <c:v>1.4441368874318749E-2</c:v>
                </c:pt>
                <c:pt idx="249">
                  <c:v>4.0046217801668942E-2</c:v>
                </c:pt>
                <c:pt idx="250">
                  <c:v>3.7296934448877182E-2</c:v>
                </c:pt>
                <c:pt idx="251">
                  <c:v>3.2825783049897157E-3</c:v>
                </c:pt>
                <c:pt idx="252">
                  <c:v>3.8130969224417212E-4</c:v>
                </c:pt>
                <c:pt idx="253">
                  <c:v>3.5323881871957979E-2</c:v>
                </c:pt>
                <c:pt idx="254">
                  <c:v>-5.0207602377354121E-3</c:v>
                </c:pt>
                <c:pt idx="255">
                  <c:v>-6.5183790987404178E-2</c:v>
                </c:pt>
                <c:pt idx="256">
                  <c:v>1.7126778242392612E-2</c:v>
                </c:pt>
                <c:pt idx="257">
                  <c:v>3.2727748505049462E-2</c:v>
                </c:pt>
                <c:pt idx="258">
                  <c:v>2.8230675470954633E-2</c:v>
                </c:pt>
                <c:pt idx="259">
                  <c:v>-8.1597588104602367E-3</c:v>
                </c:pt>
                <c:pt idx="260">
                  <c:v>2.2543503799673774E-4</c:v>
                </c:pt>
                <c:pt idx="261">
                  <c:v>2.9681656401912556E-2</c:v>
                </c:pt>
                <c:pt idx="262">
                  <c:v>1.8177292541674647E-2</c:v>
                </c:pt>
                <c:pt idx="263">
                  <c:v>-7.0844173684735303E-3</c:v>
                </c:pt>
                <c:pt idx="264">
                  <c:v>4.5946065017743679E-3</c:v>
                </c:pt>
                <c:pt idx="265">
                  <c:v>2.4867550692982833E-2</c:v>
                </c:pt>
                <c:pt idx="266">
                  <c:v>-1.716363554584937E-3</c:v>
                </c:pt>
                <c:pt idx="267">
                  <c:v>1.189108366862561E-2</c:v>
                </c:pt>
                <c:pt idx="268">
                  <c:v>-3.5988548153707803E-3</c:v>
                </c:pt>
                <c:pt idx="269">
                  <c:v>1.4826255898854879E-3</c:v>
                </c:pt>
                <c:pt idx="270">
                  <c:v>-7.5363324898345824E-3</c:v>
                </c:pt>
                <c:pt idx="271">
                  <c:v>5.8270770705705648E-4</c:v>
                </c:pt>
                <c:pt idx="272">
                  <c:v>-4.5209237282709588E-3</c:v>
                </c:pt>
                <c:pt idx="273">
                  <c:v>-2.6375618401693599E-2</c:v>
                </c:pt>
                <c:pt idx="274">
                  <c:v>1.2091856528841894E-2</c:v>
                </c:pt>
                <c:pt idx="275">
                  <c:v>-1.4327925833750862E-2</c:v>
                </c:pt>
                <c:pt idx="276">
                  <c:v>6.2108677622149739E-5</c:v>
                </c:pt>
                <c:pt idx="277">
                  <c:v>-3.6206527414439089E-2</c:v>
                </c:pt>
                <c:pt idx="278">
                  <c:v>-1.8463802073823805E-3</c:v>
                </c:pt>
                <c:pt idx="279">
                  <c:v>1.7520083613940703E-3</c:v>
                </c:pt>
                <c:pt idx="280">
                  <c:v>5.8003264019757823E-3</c:v>
                </c:pt>
                <c:pt idx="281">
                  <c:v>3.233604664599668E-2</c:v>
                </c:pt>
                <c:pt idx="282">
                  <c:v>-1.5512896634305357E-3</c:v>
                </c:pt>
                <c:pt idx="283">
                  <c:v>3.5548562536390307E-3</c:v>
                </c:pt>
                <c:pt idx="284">
                  <c:v>1.138984030837749E-3</c:v>
                </c:pt>
                <c:pt idx="285">
                  <c:v>-2.9470677967505122E-2</c:v>
                </c:pt>
                <c:pt idx="286">
                  <c:v>-1.6925127946874868E-2</c:v>
                </c:pt>
                <c:pt idx="287">
                  <c:v>4.4339669514667572E-4</c:v>
                </c:pt>
                <c:pt idx="288">
                  <c:v>-3.4792275724683318E-2</c:v>
                </c:pt>
                <c:pt idx="289">
                  <c:v>1.5160116414802733E-2</c:v>
                </c:pt>
                <c:pt idx="290">
                  <c:v>-2.0035665902085171E-3</c:v>
                </c:pt>
                <c:pt idx="291">
                  <c:v>1.2368632848275905E-3</c:v>
                </c:pt>
                <c:pt idx="292">
                  <c:v>-2.6427133322989453E-2</c:v>
                </c:pt>
                <c:pt idx="293">
                  <c:v>-2.1069993562944582E-2</c:v>
                </c:pt>
                <c:pt idx="294">
                  <c:v>-1.2881867483291485E-2</c:v>
                </c:pt>
                <c:pt idx="295">
                  <c:v>1.8925760164575447E-2</c:v>
                </c:pt>
                <c:pt idx="296">
                  <c:v>-4.1480766584332113E-3</c:v>
                </c:pt>
                <c:pt idx="297">
                  <c:v>-1.472370640079514E-2</c:v>
                </c:pt>
                <c:pt idx="298">
                  <c:v>-3.7570877374089344E-3</c:v>
                </c:pt>
                <c:pt idx="299">
                  <c:v>2.0681087153501059E-3</c:v>
                </c:pt>
                <c:pt idx="300">
                  <c:v>-9.6751352516282821E-3</c:v>
                </c:pt>
                <c:pt idx="301">
                  <c:v>-4.3732860811087652E-3</c:v>
                </c:pt>
                <c:pt idx="302">
                  <c:v>5.6280783498025523E-3</c:v>
                </c:pt>
                <c:pt idx="303">
                  <c:v>1.5967814178447313E-2</c:v>
                </c:pt>
                <c:pt idx="304">
                  <c:v>-0.1192664084277022</c:v>
                </c:pt>
                <c:pt idx="305">
                  <c:v>5.0621676671257831E-2</c:v>
                </c:pt>
                <c:pt idx="306">
                  <c:v>-3.0863148782012604E-2</c:v>
                </c:pt>
                <c:pt idx="307">
                  <c:v>4.2152405002313126E-2</c:v>
                </c:pt>
                <c:pt idx="308">
                  <c:v>-9.9923389200317291E-4</c:v>
                </c:pt>
                <c:pt idx="309">
                  <c:v>-3.2421042937342069E-2</c:v>
                </c:pt>
                <c:pt idx="310">
                  <c:v>-1.2052353864409436E-2</c:v>
                </c:pt>
                <c:pt idx="311">
                  <c:v>-3.9366735192784955E-2</c:v>
                </c:pt>
                <c:pt idx="312">
                  <c:v>4.4084114343614686E-2</c:v>
                </c:pt>
                <c:pt idx="313">
                  <c:v>1.2777986475695778E-2</c:v>
                </c:pt>
                <c:pt idx="314">
                  <c:v>2.1088669029728745E-3</c:v>
                </c:pt>
                <c:pt idx="315">
                  <c:v>5.6839389455667029E-2</c:v>
                </c:pt>
                <c:pt idx="316">
                  <c:v>-3.4188126853118082E-2</c:v>
                </c:pt>
                <c:pt idx="317">
                  <c:v>-2.4360346299496467E-2</c:v>
                </c:pt>
                <c:pt idx="318">
                  <c:v>2.7472865791798275E-2</c:v>
                </c:pt>
                <c:pt idx="319">
                  <c:v>-6.9657117687122738E-2</c:v>
                </c:pt>
                <c:pt idx="320">
                  <c:v>-1.6001359948089176E-2</c:v>
                </c:pt>
                <c:pt idx="321">
                  <c:v>-2.2895950554876362E-2</c:v>
                </c:pt>
                <c:pt idx="322">
                  <c:v>3.8984101765541367E-2</c:v>
                </c:pt>
                <c:pt idx="323">
                  <c:v>2.2918960449788491E-3</c:v>
                </c:pt>
                <c:pt idx="324">
                  <c:v>-2.6132747795181564E-2</c:v>
                </c:pt>
                <c:pt idx="325">
                  <c:v>-3.0157026772281166E-2</c:v>
                </c:pt>
                <c:pt idx="326">
                  <c:v>-1.6742352461050082E-2</c:v>
                </c:pt>
                <c:pt idx="327">
                  <c:v>3.915040742776163E-2</c:v>
                </c:pt>
                <c:pt idx="328">
                  <c:v>-1.1135364283159723E-2</c:v>
                </c:pt>
                <c:pt idx="329">
                  <c:v>1.239782921411275E-3</c:v>
                </c:pt>
                <c:pt idx="330">
                  <c:v>2.4500013113538405E-3</c:v>
                </c:pt>
                <c:pt idx="331">
                  <c:v>3.1035059828259139E-3</c:v>
                </c:pt>
                <c:pt idx="332">
                  <c:v>6.8857366421308623E-3</c:v>
                </c:pt>
                <c:pt idx="333">
                  <c:v>-1.3638978031939636E-2</c:v>
                </c:pt>
                <c:pt idx="334">
                  <c:v>-3.4332817484775515E-3</c:v>
                </c:pt>
                <c:pt idx="335">
                  <c:v>1.847965302744773E-2</c:v>
                </c:pt>
                <c:pt idx="336">
                  <c:v>-6.3874149601379736E-3</c:v>
                </c:pt>
                <c:pt idx="337">
                  <c:v>5.1781030439263676E-3</c:v>
                </c:pt>
                <c:pt idx="338">
                  <c:v>8.6169130514688504E-3</c:v>
                </c:pt>
                <c:pt idx="339">
                  <c:v>-5.8380359268460618E-3</c:v>
                </c:pt>
                <c:pt idx="340">
                  <c:v>8.6325791991712312E-3</c:v>
                </c:pt>
                <c:pt idx="341">
                  <c:v>-1.4465660466470296E-2</c:v>
                </c:pt>
                <c:pt idx="342">
                  <c:v>-1.4504643702049567E-2</c:v>
                </c:pt>
                <c:pt idx="343">
                  <c:v>-2.3872066885199938E-2</c:v>
                </c:pt>
                <c:pt idx="344">
                  <c:v>-5.8409091054873116E-3</c:v>
                </c:pt>
                <c:pt idx="345">
                  <c:v>1.8970229840554988E-2</c:v>
                </c:pt>
                <c:pt idx="346">
                  <c:v>2.9507041042639817E-2</c:v>
                </c:pt>
                <c:pt idx="347">
                  <c:v>2.2396155453183113E-2</c:v>
                </c:pt>
                <c:pt idx="348">
                  <c:v>-0.16221288552434293</c:v>
                </c:pt>
                <c:pt idx="349">
                  <c:v>-5.9171792438491777E-3</c:v>
                </c:pt>
                <c:pt idx="350">
                  <c:v>1.1664801997105118E-2</c:v>
                </c:pt>
                <c:pt idx="351">
                  <c:v>5.3006435567328349E-2</c:v>
                </c:pt>
                <c:pt idx="352">
                  <c:v>-8.8092462155447727E-3</c:v>
                </c:pt>
                <c:pt idx="353">
                  <c:v>-2.6497616790017227E-2</c:v>
                </c:pt>
                <c:pt idx="354">
                  <c:v>5.7867599592375868E-3</c:v>
                </c:pt>
                <c:pt idx="355">
                  <c:v>-8.4341819566431577E-3</c:v>
                </c:pt>
                <c:pt idx="356">
                  <c:v>3.0983386317541894E-2</c:v>
                </c:pt>
                <c:pt idx="357">
                  <c:v>1.7735121582300603E-2</c:v>
                </c:pt>
                <c:pt idx="358">
                  <c:v>-1.1782863719269504E-2</c:v>
                </c:pt>
                <c:pt idx="359">
                  <c:v>1.8295327561942094E-2</c:v>
                </c:pt>
                <c:pt idx="360">
                  <c:v>8.8051304852160353E-3</c:v>
                </c:pt>
                <c:pt idx="361">
                  <c:v>-1.5491735888955315E-2</c:v>
                </c:pt>
                <c:pt idx="362">
                  <c:v>-4.0908154515249253E-3</c:v>
                </c:pt>
                <c:pt idx="363">
                  <c:v>8.3342908797715935E-3</c:v>
                </c:pt>
                <c:pt idx="364">
                  <c:v>1.4439247037857242E-2</c:v>
                </c:pt>
                <c:pt idx="365">
                  <c:v>-2.0758531381923906E-2</c:v>
                </c:pt>
                <c:pt idx="366">
                  <c:v>-1.9033457891292377E-2</c:v>
                </c:pt>
                <c:pt idx="367">
                  <c:v>6.7995197876050392E-2</c:v>
                </c:pt>
                <c:pt idx="368">
                  <c:v>4.9237556815174333E-2</c:v>
                </c:pt>
                <c:pt idx="369">
                  <c:v>-1.1013833201561546E-2</c:v>
                </c:pt>
                <c:pt idx="370">
                  <c:v>-2.6489387616351192E-2</c:v>
                </c:pt>
                <c:pt idx="371">
                  <c:v>-7.3872076074529905E-2</c:v>
                </c:pt>
                <c:pt idx="372">
                  <c:v>-0.10220499853194194</c:v>
                </c:pt>
                <c:pt idx="373">
                  <c:v>4.3190659390133092E-2</c:v>
                </c:pt>
                <c:pt idx="374">
                  <c:v>-4.9319491127939159E-2</c:v>
                </c:pt>
                <c:pt idx="375">
                  <c:v>-6.8841532993237919E-2</c:v>
                </c:pt>
                <c:pt idx="376">
                  <c:v>0.12574530139796247</c:v>
                </c:pt>
                <c:pt idx="377">
                  <c:v>1.4983977398083888E-2</c:v>
                </c:pt>
                <c:pt idx="378">
                  <c:v>-4.7004793667862081E-2</c:v>
                </c:pt>
                <c:pt idx="379">
                  <c:v>-1.0033490386900386E-2</c:v>
                </c:pt>
                <c:pt idx="380">
                  <c:v>-4.7453191927885996E-2</c:v>
                </c:pt>
                <c:pt idx="381">
                  <c:v>-3.6270235176111748E-2</c:v>
                </c:pt>
                <c:pt idx="382">
                  <c:v>-2.4201861950187997E-3</c:v>
                </c:pt>
                <c:pt idx="383">
                  <c:v>2.0926012374563641E-2</c:v>
                </c:pt>
                <c:pt idx="384">
                  <c:v>-2.9907427510634525E-2</c:v>
                </c:pt>
                <c:pt idx="385">
                  <c:v>-8.3232898384973678E-2</c:v>
                </c:pt>
                <c:pt idx="386">
                  <c:v>2.2122686051800605E-2</c:v>
                </c:pt>
                <c:pt idx="387">
                  <c:v>1.0314381377061535E-3</c:v>
                </c:pt>
                <c:pt idx="388">
                  <c:v>3.702785345399838E-2</c:v>
                </c:pt>
                <c:pt idx="389">
                  <c:v>-1.2029218760537894E-2</c:v>
                </c:pt>
                <c:pt idx="390">
                  <c:v>-2.2764346416433615E-2</c:v>
                </c:pt>
                <c:pt idx="391">
                  <c:v>4.9237598521469854E-2</c:v>
                </c:pt>
                <c:pt idx="392">
                  <c:v>3.6561633862014269E-2</c:v>
                </c:pt>
                <c:pt idx="393">
                  <c:v>-4.7210918522974439E-2</c:v>
                </c:pt>
                <c:pt idx="394">
                  <c:v>-1.225914545052887E-2</c:v>
                </c:pt>
                <c:pt idx="395">
                  <c:v>-1.7728371231580806E-2</c:v>
                </c:pt>
                <c:pt idx="396">
                  <c:v>-1.2054870529310258E-2</c:v>
                </c:pt>
                <c:pt idx="397">
                  <c:v>-3.2811303484076251E-2</c:v>
                </c:pt>
                <c:pt idx="398">
                  <c:v>2.5860476238770063E-2</c:v>
                </c:pt>
                <c:pt idx="399">
                  <c:v>-3.1187046441558102E-2</c:v>
                </c:pt>
                <c:pt idx="400">
                  <c:v>1.3502011517373989E-2</c:v>
                </c:pt>
                <c:pt idx="401">
                  <c:v>-4.2860052649279258E-3</c:v>
                </c:pt>
                <c:pt idx="402">
                  <c:v>6.1494328360097369E-3</c:v>
                </c:pt>
                <c:pt idx="403">
                  <c:v>-9.0261076427539683E-3</c:v>
                </c:pt>
                <c:pt idx="404">
                  <c:v>1.3847438048327394E-2</c:v>
                </c:pt>
                <c:pt idx="405">
                  <c:v>1.1828390761226807E-2</c:v>
                </c:pt>
                <c:pt idx="406">
                  <c:v>1.2358052329774301E-2</c:v>
                </c:pt>
                <c:pt idx="407">
                  <c:v>3.7152529143812188E-2</c:v>
                </c:pt>
                <c:pt idx="408">
                  <c:v>-2.1840335210792546E-2</c:v>
                </c:pt>
                <c:pt idx="409">
                  <c:v>-7.8718487325536053E-3</c:v>
                </c:pt>
                <c:pt idx="410">
                  <c:v>1.960249408528204E-2</c:v>
                </c:pt>
                <c:pt idx="411">
                  <c:v>-1.0417677344564853E-3</c:v>
                </c:pt>
                <c:pt idx="412">
                  <c:v>-2.0507692633975481E-2</c:v>
                </c:pt>
                <c:pt idx="413">
                  <c:v>-2.0227678301902655E-2</c:v>
                </c:pt>
                <c:pt idx="414">
                  <c:v>-1.2916662446367279E-2</c:v>
                </c:pt>
              </c:numCache>
            </c:numRef>
          </c:val>
          <c:smooth val="0"/>
          <c:extLst>
            <c:ext xmlns:c16="http://schemas.microsoft.com/office/drawing/2014/chart" uri="{C3380CC4-5D6E-409C-BE32-E72D297353CC}">
              <c16:uniqueId val="{00000000-F00E-484C-94E7-85B62C06BA00}"/>
            </c:ext>
          </c:extLst>
        </c:ser>
        <c:dLbls>
          <c:showLegendKey val="0"/>
          <c:showVal val="0"/>
          <c:showCatName val="0"/>
          <c:showSerName val="0"/>
          <c:showPercent val="0"/>
          <c:showBubbleSize val="0"/>
        </c:dLbls>
        <c:smooth val="0"/>
        <c:axId val="1702618752"/>
        <c:axId val="1702614720"/>
      </c:lineChart>
      <c:dateAx>
        <c:axId val="1702618752"/>
        <c:scaling>
          <c:orientation val="minMax"/>
        </c:scaling>
        <c:delete val="0"/>
        <c:axPos val="b"/>
        <c:numFmt formatCode="m/d/yy" sourceLinked="0"/>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2614720"/>
        <c:crossesAt val="-0.2"/>
        <c:auto val="1"/>
        <c:lblOffset val="100"/>
        <c:baseTimeUnit val="days"/>
      </c:dateAx>
      <c:valAx>
        <c:axId val="1702614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2618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xdr:col>
      <xdr:colOff>0</xdr:colOff>
      <xdr:row>3</xdr:row>
      <xdr:rowOff>1</xdr:rowOff>
    </xdr:from>
    <xdr:ext cx="2777386" cy="332405"/>
    <xdr:pic>
      <xdr:nvPicPr>
        <xdr:cNvPr id="5" name="Picture 4" descr="Bank of England">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cstate="print"/>
        <a:stretch>
          <a:fillRect/>
        </a:stretch>
      </xdr:blipFill>
      <xdr:spPr>
        <a:xfrm>
          <a:off x="628650" y="476251"/>
          <a:ext cx="2777386" cy="332405"/>
        </a:xfrm>
        <a:prstGeom prst="rect">
          <a:avLst/>
        </a:prstGeom>
        <a:ln>
          <a:prstDash val="solid"/>
        </a:ln>
      </xdr:spPr>
    </xdr:pic>
    <xdr:clientData/>
  </xdr:oneCellAnchor>
  <xdr:twoCellAnchor>
    <xdr:from>
      <xdr:col>1</xdr:col>
      <xdr:colOff>0</xdr:colOff>
      <xdr:row>7</xdr:row>
      <xdr:rowOff>0</xdr:rowOff>
    </xdr:from>
    <xdr:to>
      <xdr:col>14</xdr:col>
      <xdr:colOff>1059</xdr:colOff>
      <xdr:row>26</xdr:row>
      <xdr:rowOff>38099</xdr:rowOff>
    </xdr:to>
    <xdr:sp macro="" textlink="">
      <xdr:nvSpPr>
        <xdr:cNvPr id="3" name="TextBox 2">
          <a:extLst>
            <a:ext uri="{FF2B5EF4-FFF2-40B4-BE49-F238E27FC236}">
              <a16:creationId xmlns:a16="http://schemas.microsoft.com/office/drawing/2014/main" id="{7B950577-7C46-499F-9CBA-129EFF0EF74D}"/>
            </a:ext>
          </a:extLst>
        </xdr:cNvPr>
        <xdr:cNvSpPr txBox="1"/>
      </xdr:nvSpPr>
      <xdr:spPr>
        <a:xfrm>
          <a:off x="628650" y="1111250"/>
          <a:ext cx="8173509" cy="30543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algn="l" defTabSz="914400" rtl="0" eaLnBrk="1" fontAlgn="auto" latinLnBrk="0" hangingPunct="1">
            <a:lnSpc>
              <a:spcPct val="100000"/>
            </a:lnSpc>
            <a:spcBef>
              <a:spcPts val="0"/>
            </a:spcBef>
            <a:spcAft>
              <a:spcPts val="2400"/>
            </a:spcAft>
            <a:buClrTx/>
            <a:buSzTx/>
            <a:buFont typeface="Arial" panose="020B0604020202020204" pitchFamily="34" charset="0"/>
            <a:buNone/>
            <a:tabLst/>
            <a:defRPr/>
          </a:pPr>
          <a:r>
            <a:rPr kumimoji="0" lang="en-GB" sz="4000" b="0" i="0" u="none" strike="noStrike" kern="1200" cap="none" spc="0" normalizeH="0" baseline="0" noProof="0" dirty="0">
              <a:ln>
                <a:noFill/>
              </a:ln>
              <a:solidFill>
                <a:srgbClr val="12273F"/>
              </a:solidFill>
              <a:effectLst/>
              <a:uLnTx/>
              <a:uFillTx/>
              <a:latin typeface="Century Gothic" panose="020B0502020202020204" pitchFamily="34" charset="0"/>
              <a:ea typeface="+mn-ea"/>
              <a:cs typeface="Arial" panose="020B0604020202020204" pitchFamily="34" charset="0"/>
            </a:rPr>
            <a:t>UK Monetary Policy Event-Study Database</a:t>
          </a:r>
          <a:br>
            <a:rPr kumimoji="0" lang="en-GB" sz="4000" b="0" i="0" u="none" strike="noStrike" kern="1200" cap="none" spc="0" normalizeH="0" baseline="0" noProof="0" dirty="0">
              <a:ln>
                <a:noFill/>
              </a:ln>
              <a:solidFill>
                <a:srgbClr val="12273F"/>
              </a:solidFill>
              <a:effectLst/>
              <a:uLnTx/>
              <a:uFillTx/>
              <a:latin typeface="Century Gothic" panose="020B0502020202020204" pitchFamily="34" charset="0"/>
              <a:ea typeface="+mn-ea"/>
              <a:cs typeface="Arial" panose="020B0604020202020204" pitchFamily="34" charset="0"/>
            </a:rPr>
          </a:br>
          <a:br>
            <a:rPr kumimoji="0" lang="en-GB" sz="4000" b="0" i="0" u="none" strike="noStrike" kern="1200" cap="none" spc="0" normalizeH="0" baseline="0" noProof="0" dirty="0">
              <a:ln>
                <a:noFill/>
              </a:ln>
              <a:solidFill>
                <a:srgbClr val="12273F"/>
              </a:solidFill>
              <a:effectLst/>
              <a:uLnTx/>
              <a:uFillTx/>
              <a:latin typeface="Century Gothic" panose="020B0502020202020204" pitchFamily="34" charset="0"/>
              <a:ea typeface="+mn-ea"/>
              <a:cs typeface="Arial" panose="020B0604020202020204" pitchFamily="34" charset="0"/>
            </a:rPr>
          </a:br>
          <a:r>
            <a:rPr kumimoji="0" lang="en-GB" sz="2400" b="0" i="0" u="none" strike="noStrike" kern="1200" cap="none" spc="0" normalizeH="0" baseline="0" noProof="0" dirty="0">
              <a:ln>
                <a:noFill/>
              </a:ln>
              <a:solidFill>
                <a:srgbClr val="12273F"/>
              </a:solidFill>
              <a:effectLst/>
              <a:uLnTx/>
              <a:uFillTx/>
              <a:latin typeface="Century Gothic" panose="020B0502020202020204" pitchFamily="34" charset="0"/>
              <a:ea typeface="+mn-ea"/>
              <a:cs typeface="Arial" panose="020B0604020202020204" pitchFamily="34" charset="0"/>
            </a:rPr>
            <a:t>October 2025</a:t>
          </a:r>
        </a:p>
        <a:p>
          <a:pPr marL="0" marR="0" lvl="0" indent="0" algn="l" defTabSz="914400" rtl="0" eaLnBrk="1" fontAlgn="auto" latinLnBrk="0" hangingPunct="1">
            <a:lnSpc>
              <a:spcPct val="100000"/>
            </a:lnSpc>
            <a:spcBef>
              <a:spcPts val="0"/>
            </a:spcBef>
            <a:spcAft>
              <a:spcPts val="2400"/>
            </a:spcAft>
            <a:buClrTx/>
            <a:buSzTx/>
            <a:buFont typeface="Arial" panose="020B0604020202020204" pitchFamily="34" charset="0"/>
            <a:buNone/>
            <a:tabLst/>
            <a:defRPr/>
          </a:pPr>
          <a:endParaRPr kumimoji="0" lang="en-GB" sz="4000" b="0" i="0" u="none" strike="noStrike" kern="1200" cap="none" spc="0" normalizeH="0" baseline="0" noProof="0" dirty="0">
            <a:ln>
              <a:noFill/>
            </a:ln>
            <a:solidFill>
              <a:srgbClr val="12273F"/>
            </a:solidFill>
            <a:effectLst/>
            <a:uLnTx/>
            <a:uFillTx/>
            <a:latin typeface="Century Gothic" panose="020B0502020202020204" pitchFamily="34" charset="0"/>
            <a:ea typeface="+mn-ea"/>
            <a:cs typeface="Arial" panose="020B0604020202020204" pitchFamily="34" charset="0"/>
          </a:endParaRPr>
        </a:p>
        <a:p>
          <a:pPr marL="0" marR="0" lvl="0" indent="0" algn="l" defTabSz="914400" rtl="0" eaLnBrk="1" fontAlgn="auto" latinLnBrk="0" hangingPunct="1">
            <a:lnSpc>
              <a:spcPct val="100000"/>
            </a:lnSpc>
            <a:spcBef>
              <a:spcPts val="0"/>
            </a:spcBef>
            <a:spcAft>
              <a:spcPts val="2400"/>
            </a:spcAft>
            <a:buClrTx/>
            <a:buSzTx/>
            <a:buFont typeface="Arial" panose="020B0604020202020204" pitchFamily="34" charset="0"/>
            <a:buNone/>
            <a:tabLst/>
            <a:defRPr/>
          </a:pPr>
          <a:endParaRPr kumimoji="0" lang="en-GB" sz="4000" b="0" i="0" u="none" strike="noStrike" kern="1200" cap="none" spc="0" normalizeH="0" baseline="0" noProof="0" dirty="0">
            <a:ln>
              <a:noFill/>
            </a:ln>
            <a:solidFill>
              <a:srgbClr val="12273F"/>
            </a:solidFill>
            <a:effectLst/>
            <a:uLnTx/>
            <a:uFillTx/>
            <a:latin typeface="Century Gothic" panose="020B0502020202020204" pitchFamily="34" charset="0"/>
            <a:ea typeface="+mn-ea"/>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6350</xdr:colOff>
      <xdr:row>1</xdr:row>
      <xdr:rowOff>12701</xdr:rowOff>
    </xdr:from>
    <xdr:to>
      <xdr:col>22</xdr:col>
      <xdr:colOff>0</xdr:colOff>
      <xdr:row>18</xdr:row>
      <xdr:rowOff>12700</xdr:rowOff>
    </xdr:to>
    <xdr:graphicFrame macro="">
      <xdr:nvGraphicFramePr>
        <xdr:cNvPr id="2" name="Chart 1">
          <a:extLst>
            <a:ext uri="{FF2B5EF4-FFF2-40B4-BE49-F238E27FC236}">
              <a16:creationId xmlns:a16="http://schemas.microsoft.com/office/drawing/2014/main" id="{5C80F6DB-4C32-BC62-E6E7-6A09DC4E48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12700</xdr:colOff>
      <xdr:row>19</xdr:row>
      <xdr:rowOff>6350</xdr:rowOff>
    </xdr:from>
    <xdr:to>
      <xdr:col>22</xdr:col>
      <xdr:colOff>0</xdr:colOff>
      <xdr:row>37</xdr:row>
      <xdr:rowOff>38100</xdr:rowOff>
    </xdr:to>
    <xdr:graphicFrame macro="">
      <xdr:nvGraphicFramePr>
        <xdr:cNvPr id="3" name="Chart 2">
          <a:extLst>
            <a:ext uri="{FF2B5EF4-FFF2-40B4-BE49-F238E27FC236}">
              <a16:creationId xmlns:a16="http://schemas.microsoft.com/office/drawing/2014/main" id="{65018273-59C6-0F92-FB1F-275750BB65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12700</xdr:colOff>
      <xdr:row>38</xdr:row>
      <xdr:rowOff>6350</xdr:rowOff>
    </xdr:from>
    <xdr:to>
      <xdr:col>22</xdr:col>
      <xdr:colOff>0</xdr:colOff>
      <xdr:row>57</xdr:row>
      <xdr:rowOff>12700</xdr:rowOff>
    </xdr:to>
    <xdr:graphicFrame macro="">
      <xdr:nvGraphicFramePr>
        <xdr:cNvPr id="4" name="Chart 3">
          <a:extLst>
            <a:ext uri="{FF2B5EF4-FFF2-40B4-BE49-F238E27FC236}">
              <a16:creationId xmlns:a16="http://schemas.microsoft.com/office/drawing/2014/main" id="{F01B178F-4BDB-0D96-9ECE-1C22102484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lseg.com/en/data-analytics/market-data/data-feeds/tick-history"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B8" sqref="B8"/>
    </sheetView>
  </sheetViews>
  <sheetFormatPr baseColWidth="10" defaultColWidth="9" defaultRowHeight="13" x14ac:dyDescent="0.15"/>
  <cols>
    <col min="1" max="1" width="9" style="13" customWidth="1"/>
    <col min="2" max="16384" width="9" style="13"/>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8"/>
  <sheetViews>
    <sheetView zoomScale="90" zoomScaleNormal="90" workbookViewId="0">
      <selection activeCell="A18" sqref="A18:R18"/>
    </sheetView>
  </sheetViews>
  <sheetFormatPr baseColWidth="10" defaultColWidth="8.83203125" defaultRowHeight="13.75" customHeight="1" x14ac:dyDescent="0.2"/>
  <cols>
    <col min="1" max="7" width="8.83203125" style="11" customWidth="1"/>
    <col min="8" max="16384" width="8.83203125" style="11"/>
  </cols>
  <sheetData>
    <row r="1" spans="1:18" ht="13.75" customHeight="1" x14ac:dyDescent="0.2">
      <c r="A1" s="19" t="s">
        <v>5</v>
      </c>
      <c r="B1" s="20"/>
      <c r="C1" s="20"/>
      <c r="D1" s="20"/>
      <c r="E1" s="20"/>
      <c r="F1" s="20"/>
      <c r="G1" s="20"/>
      <c r="H1" s="20"/>
      <c r="I1" s="20"/>
      <c r="J1" s="20"/>
      <c r="K1" s="20"/>
      <c r="L1" s="20"/>
      <c r="M1" s="20"/>
      <c r="N1" s="20"/>
      <c r="O1" s="20"/>
      <c r="P1" s="20"/>
      <c r="Q1" s="20"/>
      <c r="R1" s="20"/>
    </row>
    <row r="2" spans="1:18" s="12" customFormat="1" ht="30.75" customHeight="1" x14ac:dyDescent="0.2">
      <c r="A2" s="25" t="s">
        <v>6</v>
      </c>
      <c r="B2" s="26"/>
      <c r="C2" s="26"/>
      <c r="D2" s="26"/>
      <c r="E2" s="26"/>
      <c r="F2" s="26"/>
      <c r="G2" s="26"/>
      <c r="H2" s="26"/>
      <c r="I2" s="26"/>
      <c r="J2" s="26"/>
      <c r="K2" s="26"/>
      <c r="L2" s="26"/>
      <c r="M2" s="26"/>
      <c r="N2" s="26"/>
      <c r="O2" s="26"/>
      <c r="P2" s="26"/>
      <c r="Q2" s="26"/>
      <c r="R2" s="26"/>
    </row>
    <row r="3" spans="1:18" ht="13.75" customHeight="1" x14ac:dyDescent="0.2">
      <c r="A3" s="23" t="s">
        <v>7</v>
      </c>
      <c r="B3" s="20"/>
      <c r="C3" s="20"/>
      <c r="D3" s="20"/>
      <c r="E3" s="20"/>
      <c r="F3" s="20"/>
      <c r="G3" s="20"/>
      <c r="H3" s="20"/>
      <c r="I3" s="20"/>
      <c r="J3" s="20"/>
      <c r="K3" s="20"/>
      <c r="L3" s="20"/>
      <c r="M3" s="20"/>
      <c r="N3" s="20"/>
      <c r="O3" s="20"/>
      <c r="P3" s="20"/>
      <c r="Q3" s="20"/>
      <c r="R3" s="20"/>
    </row>
    <row r="4" spans="1:18" ht="34.25" customHeight="1" x14ac:dyDescent="0.2">
      <c r="A4" s="22" t="s">
        <v>8</v>
      </c>
      <c r="B4" s="20"/>
      <c r="C4" s="20"/>
      <c r="D4" s="20"/>
      <c r="E4" s="20"/>
      <c r="F4" s="20"/>
      <c r="G4" s="20"/>
      <c r="H4" s="20"/>
      <c r="I4" s="20"/>
      <c r="J4" s="20"/>
      <c r="K4" s="20"/>
      <c r="L4" s="20"/>
      <c r="M4" s="20"/>
      <c r="N4" s="20"/>
      <c r="O4" s="20"/>
      <c r="P4" s="20"/>
      <c r="Q4" s="20"/>
      <c r="R4" s="20"/>
    </row>
    <row r="5" spans="1:18" ht="13.75" customHeight="1" x14ac:dyDescent="0.2">
      <c r="A5" s="4"/>
    </row>
    <row r="6" spans="1:18" ht="13.75" customHeight="1" x14ac:dyDescent="0.2">
      <c r="A6" s="4" t="s">
        <v>9</v>
      </c>
    </row>
    <row r="7" spans="1:18" ht="13.75" customHeight="1" x14ac:dyDescent="0.2">
      <c r="A7" s="8" t="s">
        <v>10</v>
      </c>
    </row>
    <row r="8" spans="1:18" ht="13.75" customHeight="1" x14ac:dyDescent="0.2">
      <c r="A8" s="5"/>
    </row>
    <row r="9" spans="1:18" ht="13.75" customHeight="1" x14ac:dyDescent="0.2">
      <c r="A9" s="9" t="s">
        <v>11</v>
      </c>
    </row>
    <row r="10" spans="1:18" ht="41.5" customHeight="1" x14ac:dyDescent="0.2">
      <c r="A10" s="28" t="s">
        <v>12</v>
      </c>
      <c r="B10" s="20"/>
      <c r="C10" s="20"/>
      <c r="D10" s="20"/>
      <c r="E10" s="20"/>
      <c r="F10" s="20"/>
      <c r="G10" s="20"/>
      <c r="H10" s="20"/>
      <c r="I10" s="20"/>
      <c r="J10" s="20"/>
      <c r="K10" s="20"/>
      <c r="L10" s="20"/>
      <c r="M10" s="20"/>
      <c r="N10" s="20"/>
      <c r="O10" s="20"/>
      <c r="P10" s="20"/>
      <c r="Q10" s="20"/>
      <c r="R10" s="20"/>
    </row>
    <row r="11" spans="1:18" ht="70.25" customHeight="1" x14ac:dyDescent="0.2">
      <c r="A11" s="27" t="s">
        <v>13</v>
      </c>
      <c r="B11" s="20"/>
      <c r="C11" s="20"/>
      <c r="D11" s="20"/>
      <c r="E11" s="20"/>
      <c r="F11" s="20"/>
      <c r="G11" s="20"/>
      <c r="H11" s="20"/>
      <c r="I11" s="20"/>
      <c r="J11" s="20"/>
      <c r="K11" s="20"/>
      <c r="L11" s="20"/>
      <c r="M11" s="20"/>
      <c r="N11" s="20"/>
      <c r="O11" s="20"/>
      <c r="P11" s="20"/>
      <c r="Q11" s="20"/>
      <c r="R11" s="20"/>
    </row>
    <row r="12" spans="1:18" ht="24" customHeight="1" x14ac:dyDescent="0.2">
      <c r="A12" s="6"/>
      <c r="B12" s="6"/>
      <c r="C12" s="6"/>
      <c r="D12" s="6"/>
      <c r="E12" s="6"/>
      <c r="F12" s="6"/>
      <c r="G12" s="6"/>
      <c r="H12" s="6"/>
      <c r="I12" s="6"/>
      <c r="J12" s="6"/>
      <c r="K12" s="6"/>
      <c r="L12" s="6"/>
      <c r="M12" s="6"/>
      <c r="N12" s="6"/>
      <c r="O12" s="6"/>
      <c r="P12" s="6"/>
      <c r="Q12" s="6"/>
      <c r="R12" s="6"/>
    </row>
    <row r="13" spans="1:18" ht="13.75" customHeight="1" x14ac:dyDescent="0.2">
      <c r="A13" s="9" t="s">
        <v>14</v>
      </c>
    </row>
    <row r="14" spans="1:18" ht="31.25" customHeight="1" x14ac:dyDescent="0.2">
      <c r="A14" s="21" t="s">
        <v>15</v>
      </c>
      <c r="B14" s="20"/>
      <c r="C14" s="20"/>
      <c r="D14" s="20"/>
      <c r="E14" s="20"/>
      <c r="F14" s="20"/>
      <c r="G14" s="20"/>
      <c r="H14" s="20"/>
      <c r="I14" s="20"/>
      <c r="J14" s="20"/>
      <c r="K14" s="20"/>
      <c r="L14" s="20"/>
      <c r="M14" s="20"/>
      <c r="N14" s="20"/>
      <c r="O14" s="20"/>
      <c r="P14" s="20"/>
      <c r="Q14" s="20"/>
      <c r="R14" s="20"/>
    </row>
    <row r="15" spans="1:18" ht="54" customHeight="1" x14ac:dyDescent="0.2">
      <c r="A15" s="24" t="s">
        <v>16</v>
      </c>
      <c r="B15" s="20"/>
      <c r="C15" s="20"/>
      <c r="D15" s="20"/>
      <c r="E15" s="20"/>
      <c r="F15" s="20"/>
      <c r="G15" s="20"/>
      <c r="H15" s="20"/>
      <c r="I15" s="20"/>
      <c r="J15" s="20"/>
      <c r="K15" s="20"/>
      <c r="L15" s="20"/>
      <c r="M15" s="20"/>
      <c r="N15" s="20"/>
      <c r="O15" s="20"/>
      <c r="P15" s="20"/>
      <c r="Q15" s="20"/>
      <c r="R15" s="20"/>
    </row>
    <row r="16" spans="1:18" ht="24" customHeight="1" x14ac:dyDescent="0.2">
      <c r="A16" s="21" t="s">
        <v>17</v>
      </c>
      <c r="B16" s="20"/>
      <c r="C16" s="20"/>
      <c r="D16" s="20"/>
      <c r="E16" s="20"/>
      <c r="F16" s="20"/>
      <c r="G16" s="20"/>
      <c r="H16" s="20"/>
      <c r="I16" s="20"/>
      <c r="J16" s="20"/>
      <c r="K16" s="20"/>
      <c r="L16" s="20"/>
      <c r="M16" s="20"/>
      <c r="N16" s="20"/>
      <c r="O16" s="20"/>
      <c r="P16" s="20"/>
      <c r="Q16" s="20"/>
      <c r="R16" s="20"/>
    </row>
    <row r="17" spans="1:18" ht="39.75" customHeight="1" x14ac:dyDescent="0.2">
      <c r="A17" s="21" t="s">
        <v>18</v>
      </c>
      <c r="B17" s="20"/>
      <c r="C17" s="20"/>
      <c r="D17" s="20"/>
      <c r="E17" s="20"/>
      <c r="F17" s="20"/>
      <c r="G17" s="20"/>
      <c r="H17" s="20"/>
      <c r="I17" s="20"/>
      <c r="J17" s="20"/>
      <c r="K17" s="20"/>
      <c r="L17" s="20"/>
      <c r="M17" s="20"/>
      <c r="N17" s="20"/>
      <c r="O17" s="20"/>
      <c r="P17" s="20"/>
      <c r="Q17" s="20"/>
      <c r="R17" s="20"/>
    </row>
    <row r="18" spans="1:18" ht="54" customHeight="1" x14ac:dyDescent="0.2">
      <c r="A18" s="21" t="s">
        <v>19</v>
      </c>
      <c r="B18" s="20"/>
      <c r="C18" s="20"/>
      <c r="D18" s="20"/>
      <c r="E18" s="20"/>
      <c r="F18" s="20"/>
      <c r="G18" s="20"/>
      <c r="H18" s="20"/>
      <c r="I18" s="20"/>
      <c r="J18" s="20"/>
      <c r="K18" s="20"/>
      <c r="L18" s="20"/>
      <c r="M18" s="20"/>
      <c r="N18" s="20"/>
      <c r="O18" s="20"/>
      <c r="P18" s="20"/>
      <c r="Q18" s="20"/>
      <c r="R18" s="20"/>
    </row>
  </sheetData>
  <mergeCells count="11">
    <mergeCell ref="A1:R1"/>
    <mergeCell ref="A17:R17"/>
    <mergeCell ref="A18:R18"/>
    <mergeCell ref="A4:R4"/>
    <mergeCell ref="A3:R3"/>
    <mergeCell ref="A15:R15"/>
    <mergeCell ref="A2:R2"/>
    <mergeCell ref="A11:R11"/>
    <mergeCell ref="A16:R16"/>
    <mergeCell ref="A10:R10"/>
    <mergeCell ref="A14:R14"/>
  </mergeCells>
  <hyperlinks>
    <hyperlink ref="A7" r:id="rId1" xr:uid="{00000000-0004-0000-0100-000000000000}"/>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D30"/>
  <sheetViews>
    <sheetView tabSelected="1" workbookViewId="0">
      <selection activeCell="B34" sqref="B34"/>
    </sheetView>
  </sheetViews>
  <sheetFormatPr baseColWidth="10" defaultColWidth="8.83203125" defaultRowHeight="15" x14ac:dyDescent="0.2"/>
  <cols>
    <col min="1" max="1" width="17" style="11" customWidth="1"/>
    <col min="2" max="2" width="34.6640625" style="11" customWidth="1"/>
    <col min="3" max="3" width="21.1640625" style="11" customWidth="1"/>
    <col min="4" max="4" width="15.33203125" style="11" customWidth="1"/>
    <col min="5" max="11" width="8.83203125" style="11" customWidth="1"/>
    <col min="12" max="16384" width="8.83203125" style="11"/>
  </cols>
  <sheetData>
    <row r="2" spans="1:4" x14ac:dyDescent="0.2">
      <c r="A2" s="2" t="s">
        <v>20</v>
      </c>
      <c r="B2" s="2" t="s">
        <v>21</v>
      </c>
      <c r="C2" s="2" t="s">
        <v>22</v>
      </c>
      <c r="D2" s="2" t="s">
        <v>23</v>
      </c>
    </row>
    <row r="3" spans="1:4" x14ac:dyDescent="0.2">
      <c r="A3" s="29" t="s">
        <v>24</v>
      </c>
      <c r="B3" s="20"/>
      <c r="C3" s="20"/>
      <c r="D3" s="20"/>
    </row>
    <row r="4" spans="1:4" x14ac:dyDescent="0.2">
      <c r="A4" s="11" t="s">
        <v>25</v>
      </c>
      <c r="B4" s="11" t="s">
        <v>26</v>
      </c>
      <c r="C4" s="11" t="s">
        <v>27</v>
      </c>
      <c r="D4" s="11" t="s">
        <v>28</v>
      </c>
    </row>
    <row r="5" spans="1:4" x14ac:dyDescent="0.2">
      <c r="A5" s="11" t="s">
        <v>29</v>
      </c>
      <c r="B5" s="11" t="s">
        <v>30</v>
      </c>
      <c r="C5" s="11" t="s">
        <v>27</v>
      </c>
      <c r="D5" s="11" t="s">
        <v>28</v>
      </c>
    </row>
    <row r="6" spans="1:4" x14ac:dyDescent="0.2">
      <c r="A6" s="11" t="s">
        <v>31</v>
      </c>
      <c r="B6" s="11" t="s">
        <v>32</v>
      </c>
      <c r="C6" s="11" t="s">
        <v>27</v>
      </c>
      <c r="D6" s="11" t="s">
        <v>28</v>
      </c>
    </row>
    <row r="7" spans="1:4" x14ac:dyDescent="0.2">
      <c r="A7" s="11" t="s">
        <v>33</v>
      </c>
      <c r="B7" s="11" t="s">
        <v>34</v>
      </c>
      <c r="C7" s="11" t="s">
        <v>27</v>
      </c>
      <c r="D7" s="11" t="s">
        <v>28</v>
      </c>
    </row>
    <row r="8" spans="1:4" x14ac:dyDescent="0.2">
      <c r="A8" s="11" t="s">
        <v>35</v>
      </c>
      <c r="B8" s="11" t="s">
        <v>36</v>
      </c>
      <c r="C8" s="11" t="s">
        <v>37</v>
      </c>
      <c r="D8" s="11" t="s">
        <v>28</v>
      </c>
    </row>
    <row r="9" spans="1:4" x14ac:dyDescent="0.2">
      <c r="A9" s="11" t="s">
        <v>38</v>
      </c>
      <c r="B9" s="11" t="s">
        <v>39</v>
      </c>
      <c r="C9" s="11" t="s">
        <v>37</v>
      </c>
      <c r="D9" s="11" t="s">
        <v>28</v>
      </c>
    </row>
    <row r="10" spans="1:4" x14ac:dyDescent="0.2">
      <c r="A10" s="11" t="s">
        <v>40</v>
      </c>
      <c r="B10" s="11" t="s">
        <v>41</v>
      </c>
      <c r="C10" s="11" t="s">
        <v>37</v>
      </c>
      <c r="D10" s="11" t="s">
        <v>28</v>
      </c>
    </row>
    <row r="11" spans="1:4" x14ac:dyDescent="0.2">
      <c r="A11" s="11" t="s">
        <v>42</v>
      </c>
      <c r="B11" s="11" t="s">
        <v>43</v>
      </c>
      <c r="C11" s="11" t="s">
        <v>37</v>
      </c>
      <c r="D11" s="11" t="s">
        <v>28</v>
      </c>
    </row>
    <row r="12" spans="1:4" x14ac:dyDescent="0.2">
      <c r="A12" s="29" t="s">
        <v>44</v>
      </c>
      <c r="B12" s="20"/>
      <c r="C12" s="20"/>
      <c r="D12" s="20"/>
    </row>
    <row r="13" spans="1:4" x14ac:dyDescent="0.2">
      <c r="A13" s="11" t="s">
        <v>45</v>
      </c>
      <c r="B13" s="3" t="s">
        <v>46</v>
      </c>
      <c r="C13" s="11" t="s">
        <v>47</v>
      </c>
      <c r="D13" s="11" t="s">
        <v>28</v>
      </c>
    </row>
    <row r="14" spans="1:4" x14ac:dyDescent="0.2">
      <c r="A14" s="11" t="s">
        <v>48</v>
      </c>
      <c r="B14" s="3" t="s">
        <v>49</v>
      </c>
      <c r="C14" s="11" t="s">
        <v>47</v>
      </c>
      <c r="D14" s="11" t="s">
        <v>28</v>
      </c>
    </row>
    <row r="15" spans="1:4" x14ac:dyDescent="0.2">
      <c r="A15" s="11" t="s">
        <v>50</v>
      </c>
      <c r="B15" s="3" t="s">
        <v>51</v>
      </c>
      <c r="C15" s="11" t="s">
        <v>47</v>
      </c>
      <c r="D15" s="11" t="s">
        <v>28</v>
      </c>
    </row>
    <row r="16" spans="1:4" x14ac:dyDescent="0.2">
      <c r="A16" s="11" t="s">
        <v>52</v>
      </c>
      <c r="B16" s="3" t="s">
        <v>53</v>
      </c>
      <c r="C16" s="11" t="s">
        <v>47</v>
      </c>
      <c r="D16" s="11" t="s">
        <v>28</v>
      </c>
    </row>
    <row r="17" spans="1:4" x14ac:dyDescent="0.2">
      <c r="A17" s="29" t="s">
        <v>54</v>
      </c>
      <c r="B17" s="20"/>
      <c r="C17" s="20"/>
      <c r="D17" s="20"/>
    </row>
    <row r="18" spans="1:4" x14ac:dyDescent="0.2">
      <c r="A18" s="11" t="s">
        <v>55</v>
      </c>
      <c r="B18" s="11" t="s">
        <v>56</v>
      </c>
      <c r="C18" s="11" t="s">
        <v>57</v>
      </c>
      <c r="D18" s="11" t="s">
        <v>28</v>
      </c>
    </row>
    <row r="19" spans="1:4" x14ac:dyDescent="0.2">
      <c r="A19" s="11" t="s">
        <v>58</v>
      </c>
      <c r="B19" s="11" t="s">
        <v>59</v>
      </c>
      <c r="C19" s="11" t="s">
        <v>57</v>
      </c>
      <c r="D19" s="11" t="s">
        <v>28</v>
      </c>
    </row>
    <row r="20" spans="1:4" x14ac:dyDescent="0.2">
      <c r="A20" s="11" t="s">
        <v>60</v>
      </c>
      <c r="B20" s="11" t="s">
        <v>61</v>
      </c>
      <c r="C20" s="11" t="s">
        <v>57</v>
      </c>
      <c r="D20" s="11" t="s">
        <v>28</v>
      </c>
    </row>
    <row r="21" spans="1:4" x14ac:dyDescent="0.2">
      <c r="A21" s="11" t="s">
        <v>62</v>
      </c>
      <c r="B21" s="11" t="s">
        <v>63</v>
      </c>
      <c r="C21" s="11" t="s">
        <v>57</v>
      </c>
      <c r="D21" s="11" t="s">
        <v>28</v>
      </c>
    </row>
    <row r="22" spans="1:4" x14ac:dyDescent="0.2">
      <c r="A22" s="11" t="s">
        <v>64</v>
      </c>
      <c r="B22" s="11" t="s">
        <v>65</v>
      </c>
      <c r="C22" s="11" t="s">
        <v>57</v>
      </c>
      <c r="D22" s="11" t="s">
        <v>28</v>
      </c>
    </row>
    <row r="23" spans="1:4" x14ac:dyDescent="0.2">
      <c r="A23" s="10" t="s">
        <v>66</v>
      </c>
      <c r="B23" s="10" t="s">
        <v>67</v>
      </c>
      <c r="C23" s="10" t="s">
        <v>68</v>
      </c>
      <c r="D23" s="11" t="s">
        <v>28</v>
      </c>
    </row>
    <row r="24" spans="1:4" x14ac:dyDescent="0.2">
      <c r="A24" s="29" t="s">
        <v>69</v>
      </c>
      <c r="B24" s="20"/>
      <c r="C24" s="20"/>
      <c r="D24" s="20"/>
    </row>
    <row r="25" spans="1:4" x14ac:dyDescent="0.2">
      <c r="A25" s="11" t="s">
        <v>70</v>
      </c>
      <c r="B25" s="11" t="s">
        <v>71</v>
      </c>
      <c r="C25" s="11" t="s">
        <v>47</v>
      </c>
      <c r="D25" s="11" t="s">
        <v>72</v>
      </c>
    </row>
    <row r="26" spans="1:4" x14ac:dyDescent="0.2">
      <c r="A26" s="11" t="s">
        <v>73</v>
      </c>
      <c r="B26" s="11" t="s">
        <v>74</v>
      </c>
      <c r="C26" s="11" t="s">
        <v>47</v>
      </c>
      <c r="D26" s="11" t="s">
        <v>72</v>
      </c>
    </row>
    <row r="27" spans="1:4" x14ac:dyDescent="0.2">
      <c r="A27" s="11" t="s">
        <v>75</v>
      </c>
      <c r="B27" s="11" t="s">
        <v>76</v>
      </c>
      <c r="C27" s="11" t="s">
        <v>47</v>
      </c>
      <c r="D27" s="11" t="s">
        <v>72</v>
      </c>
    </row>
    <row r="28" spans="1:4" x14ac:dyDescent="0.2">
      <c r="A28" s="11" t="s">
        <v>77</v>
      </c>
      <c r="B28" s="11" t="s">
        <v>78</v>
      </c>
      <c r="C28" s="11" t="s">
        <v>47</v>
      </c>
      <c r="D28" s="11" t="s">
        <v>72</v>
      </c>
    </row>
    <row r="29" spans="1:4" x14ac:dyDescent="0.2">
      <c r="A29" s="11" t="s">
        <v>79</v>
      </c>
      <c r="B29" s="3" t="s">
        <v>80</v>
      </c>
      <c r="C29" s="11" t="s">
        <v>81</v>
      </c>
      <c r="D29" s="11" t="s">
        <v>72</v>
      </c>
    </row>
    <row r="30" spans="1:4" x14ac:dyDescent="0.2">
      <c r="A30" s="11" t="s">
        <v>82</v>
      </c>
      <c r="B30" s="11" t="s">
        <v>83</v>
      </c>
      <c r="C30" s="11" t="s">
        <v>47</v>
      </c>
      <c r="D30" s="11" t="s">
        <v>72</v>
      </c>
    </row>
  </sheetData>
  <mergeCells count="4">
    <mergeCell ref="A3:D3"/>
    <mergeCell ref="A12:D12"/>
    <mergeCell ref="A24:D24"/>
    <mergeCell ref="A17:D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420"/>
  <sheetViews>
    <sheetView workbookViewId="0">
      <selection activeCell="V425" sqref="V425"/>
    </sheetView>
  </sheetViews>
  <sheetFormatPr baseColWidth="10" defaultColWidth="8.83203125" defaultRowHeight="15" x14ac:dyDescent="0.2"/>
  <cols>
    <col min="1" max="1" width="17.83203125" bestFit="1" customWidth="1"/>
  </cols>
  <sheetData>
    <row r="1" spans="1:26" x14ac:dyDescent="0.2">
      <c r="A1" s="14" t="s">
        <v>0</v>
      </c>
      <c r="B1" s="14" t="s">
        <v>1</v>
      </c>
      <c r="C1" s="14" t="s">
        <v>25</v>
      </c>
      <c r="D1" s="14" t="s">
        <v>29</v>
      </c>
      <c r="E1" s="14" t="s">
        <v>31</v>
      </c>
      <c r="F1" s="14" t="s">
        <v>33</v>
      </c>
      <c r="G1" s="14" t="s">
        <v>84</v>
      </c>
      <c r="H1" s="14" t="s">
        <v>85</v>
      </c>
      <c r="I1" s="14" t="s">
        <v>86</v>
      </c>
      <c r="J1" s="14" t="s">
        <v>87</v>
      </c>
      <c r="K1" s="14" t="s">
        <v>88</v>
      </c>
      <c r="L1" s="14" t="s">
        <v>89</v>
      </c>
      <c r="M1" s="14" t="s">
        <v>90</v>
      </c>
      <c r="N1" s="14" t="s">
        <v>91</v>
      </c>
      <c r="O1" s="14" t="s">
        <v>92</v>
      </c>
      <c r="P1" s="14" t="s">
        <v>93</v>
      </c>
      <c r="Q1" s="14" t="s">
        <v>70</v>
      </c>
      <c r="R1" s="14" t="s">
        <v>79</v>
      </c>
      <c r="S1" s="14" t="s">
        <v>94</v>
      </c>
      <c r="T1" s="14" t="s">
        <v>77</v>
      </c>
      <c r="U1" s="14" t="s">
        <v>75</v>
      </c>
      <c r="V1" s="14" t="s">
        <v>73</v>
      </c>
      <c r="W1" s="14" t="s">
        <v>95</v>
      </c>
      <c r="X1" s="14" t="s">
        <v>96</v>
      </c>
      <c r="Y1" s="14" t="s">
        <v>97</v>
      </c>
      <c r="Z1" s="14" t="s">
        <v>98</v>
      </c>
    </row>
    <row r="2" spans="1:26" x14ac:dyDescent="0.2">
      <c r="A2" s="15">
        <v>35587.458333333343</v>
      </c>
      <c r="B2" t="b">
        <v>1</v>
      </c>
      <c r="C2">
        <v>6.9999999999993179E-2</v>
      </c>
      <c r="D2">
        <v>2.0000000000010228E-2</v>
      </c>
      <c r="E2">
        <v>2.0000000000010228E-2</v>
      </c>
      <c r="F2">
        <v>2.5000000000005681E-2</v>
      </c>
      <c r="G2">
        <v>2.0999999999999911E-2</v>
      </c>
      <c r="H2">
        <v>0</v>
      </c>
      <c r="I2">
        <v>0</v>
      </c>
      <c r="J2">
        <v>0</v>
      </c>
      <c r="Q2">
        <v>-0.16259284921738981</v>
      </c>
      <c r="S2">
        <v>-3.073471332449174E-3</v>
      </c>
      <c r="T2">
        <v>2.418076272431335E-2</v>
      </c>
      <c r="U2">
        <v>-1.1185306992388179E-2</v>
      </c>
      <c r="V2">
        <v>3.6914391603204422E-2</v>
      </c>
    </row>
    <row r="3" spans="1:26" x14ac:dyDescent="0.2">
      <c r="A3" s="15">
        <v>35621.458333333343</v>
      </c>
      <c r="B3" t="b">
        <v>1</v>
      </c>
      <c r="C3">
        <v>1.0000000000005119E-2</v>
      </c>
      <c r="D3">
        <v>1.0000000000005119E-2</v>
      </c>
      <c r="E3">
        <v>1.0000000000005119E-2</v>
      </c>
      <c r="F3">
        <v>4.9999999999954534E-3</v>
      </c>
      <c r="G3">
        <v>0</v>
      </c>
      <c r="H3">
        <v>-5.5500000000000327E-2</v>
      </c>
      <c r="I3">
        <v>4.5999999999999368E-2</v>
      </c>
      <c r="J3">
        <v>8.0000000000000071E-3</v>
      </c>
      <c r="Q3">
        <v>0.29371677467281643</v>
      </c>
      <c r="S3">
        <v>0.1124792919912849</v>
      </c>
      <c r="T3">
        <v>0.1421260408314993</v>
      </c>
      <c r="U3">
        <v>1.5957143705122689E-2</v>
      </c>
      <c r="V3">
        <v>0.1853256363971241</v>
      </c>
    </row>
    <row r="4" spans="1:26" x14ac:dyDescent="0.2">
      <c r="A4" s="15">
        <v>35649.458333333343</v>
      </c>
      <c r="B4" t="b">
        <v>1</v>
      </c>
      <c r="C4">
        <v>-7.00000000000216E-2</v>
      </c>
      <c r="D4">
        <v>-0.1100000000000136</v>
      </c>
      <c r="E4">
        <v>-9.9999999999994316E-2</v>
      </c>
      <c r="F4">
        <v>-0.1100000000000136</v>
      </c>
      <c r="G4">
        <v>-8.0499999999999794E-2</v>
      </c>
      <c r="H4">
        <v>-4.9999999999998927E-2</v>
      </c>
      <c r="I4">
        <v>-8.1500000000000128E-2</v>
      </c>
      <c r="J4">
        <v>-6.950000000000145E-2</v>
      </c>
      <c r="Q4">
        <v>1.1850820108244311</v>
      </c>
      <c r="S4">
        <v>-0.40337135101556498</v>
      </c>
      <c r="T4">
        <v>0.51155367758144621</v>
      </c>
      <c r="U4">
        <v>7.9384334584119642E-2</v>
      </c>
      <c r="V4">
        <v>0.64906292711361857</v>
      </c>
    </row>
    <row r="5" spans="1:26" x14ac:dyDescent="0.2">
      <c r="A5" s="15">
        <v>35655.395833333343</v>
      </c>
      <c r="B5" t="b">
        <v>0</v>
      </c>
      <c r="C5">
        <v>-2.0000000000010228E-2</v>
      </c>
      <c r="D5">
        <v>-2.0000000000010228E-2</v>
      </c>
      <c r="E5">
        <v>-2.0000000000010228E-2</v>
      </c>
      <c r="F5">
        <v>-2.0000000000010228E-2</v>
      </c>
      <c r="G5">
        <v>-8.49999999999973E-3</v>
      </c>
      <c r="H5">
        <v>-1.2999999999999901E-2</v>
      </c>
      <c r="I5">
        <v>-1.7499999999998291E-2</v>
      </c>
      <c r="J5">
        <v>-2.4499999999999741E-2</v>
      </c>
      <c r="Q5">
        <v>5.9400061146561711E-2</v>
      </c>
      <c r="S5">
        <v>-0.42403784938974098</v>
      </c>
      <c r="T5">
        <v>2.884705143753763E-2</v>
      </c>
      <c r="U5">
        <v>-7.2626298183195104E-2</v>
      </c>
      <c r="V5">
        <v>5.1729970712358408E-2</v>
      </c>
    </row>
    <row r="6" spans="1:26" x14ac:dyDescent="0.2">
      <c r="A6" s="15">
        <v>35684.458333333343</v>
      </c>
      <c r="B6" t="b">
        <v>1</v>
      </c>
      <c r="C6">
        <v>0</v>
      </c>
      <c r="D6">
        <v>2.0000000000010228E-2</v>
      </c>
      <c r="E6">
        <v>1.500000000000057E-2</v>
      </c>
      <c r="F6">
        <v>9.9999999999909051E-3</v>
      </c>
      <c r="G6">
        <v>0</v>
      </c>
      <c r="H6">
        <v>-1.500000000000057E-2</v>
      </c>
      <c r="I6">
        <v>4.5000000000010587E-3</v>
      </c>
      <c r="J6">
        <v>-2.4999999999995031E-3</v>
      </c>
      <c r="Q6">
        <v>-1.027063113940585E-2</v>
      </c>
      <c r="S6">
        <v>2.83139070364129E-2</v>
      </c>
      <c r="T6">
        <v>7.1753640227029791E-2</v>
      </c>
      <c r="U6">
        <v>-2.5876568911485261E-2</v>
      </c>
      <c r="V6">
        <v>0.1006790785585281</v>
      </c>
    </row>
    <row r="7" spans="1:26" x14ac:dyDescent="0.2">
      <c r="A7" s="15">
        <v>35712.458333333343</v>
      </c>
      <c r="B7" t="b">
        <v>1</v>
      </c>
      <c r="C7">
        <v>3.000000000000114E-2</v>
      </c>
      <c r="D7">
        <v>4.0000000000020457E-2</v>
      </c>
      <c r="E7">
        <v>3.000000000000114E-2</v>
      </c>
      <c r="F7">
        <v>4.0000000000020457E-2</v>
      </c>
      <c r="G7">
        <v>-3.9999999999995586E-3</v>
      </c>
      <c r="H7">
        <v>-1.7500000000000071E-2</v>
      </c>
      <c r="I7">
        <v>-4.5000000000001714E-3</v>
      </c>
      <c r="J7">
        <v>-7.499999999999396E-3</v>
      </c>
      <c r="Q7">
        <v>0.1222436562027269</v>
      </c>
      <c r="S7">
        <v>-7.0914335375043436E-2</v>
      </c>
      <c r="T7">
        <v>9.7372571350888393E-2</v>
      </c>
      <c r="U7">
        <v>1.2298862370698769E-2</v>
      </c>
      <c r="V7">
        <v>0.1237871400415997</v>
      </c>
    </row>
    <row r="8" spans="1:26" x14ac:dyDescent="0.2">
      <c r="A8" s="15">
        <v>35740.5</v>
      </c>
      <c r="B8" t="b">
        <v>1</v>
      </c>
      <c r="C8">
        <v>0.1499999999999915</v>
      </c>
      <c r="D8">
        <v>0.15000000000000571</v>
      </c>
      <c r="E8">
        <v>0.12000000000000451</v>
      </c>
      <c r="F8">
        <v>8.5000000000007958E-2</v>
      </c>
      <c r="G8">
        <v>1.2500000000000179E-2</v>
      </c>
      <c r="H8">
        <v>6.0999999999999943E-2</v>
      </c>
      <c r="I8">
        <v>7.5000000000011724E-3</v>
      </c>
      <c r="J8">
        <v>1.6000000000000899E-2</v>
      </c>
      <c r="Q8">
        <v>-0.54928426173182743</v>
      </c>
      <c r="S8">
        <v>0.5238419026975194</v>
      </c>
      <c r="T8">
        <v>-0.44517128305187731</v>
      </c>
      <c r="U8">
        <v>-4.0557127403644699E-2</v>
      </c>
      <c r="V8">
        <v>-0.57723171697557518</v>
      </c>
    </row>
    <row r="9" spans="1:26" x14ac:dyDescent="0.2">
      <c r="A9" s="15">
        <v>35746.4375</v>
      </c>
      <c r="B9" t="b">
        <v>0</v>
      </c>
      <c r="C9">
        <v>-3.9999999999992042E-2</v>
      </c>
      <c r="D9">
        <v>-6.9999999999993179E-2</v>
      </c>
      <c r="E9">
        <v>-7.9999999999984084E-2</v>
      </c>
      <c r="F9">
        <v>-6.0000000000002267E-2</v>
      </c>
      <c r="G9">
        <v>-3.3500000000000092E-2</v>
      </c>
      <c r="H9">
        <v>-2.1000000000000799E-2</v>
      </c>
      <c r="I9">
        <v>-2.4000000000000021E-2</v>
      </c>
      <c r="J9">
        <v>-4.0499999999999758E-2</v>
      </c>
      <c r="Q9">
        <v>1.059490386126072E-2</v>
      </c>
      <c r="S9">
        <v>2.0474721103454389E-2</v>
      </c>
      <c r="T9">
        <v>-8.1349875980322395E-2</v>
      </c>
      <c r="U9">
        <v>-0.31079211741655399</v>
      </c>
      <c r="V9">
        <v>-1.064679266369239E-2</v>
      </c>
    </row>
    <row r="10" spans="1:26" x14ac:dyDescent="0.2">
      <c r="A10" s="15">
        <v>35768.5</v>
      </c>
      <c r="B10" t="b">
        <v>1</v>
      </c>
      <c r="C10">
        <v>-2.9999999999986929E-2</v>
      </c>
      <c r="D10">
        <v>-4.9999999999997158E-2</v>
      </c>
      <c r="E10">
        <v>-4.0000000000020457E-2</v>
      </c>
      <c r="F10">
        <v>-3.4999999999996589E-2</v>
      </c>
      <c r="G10">
        <v>-1.2499999999999289E-2</v>
      </c>
      <c r="H10">
        <v>-1.6499999999999741E-2</v>
      </c>
      <c r="I10">
        <v>-2.5000000000000359E-2</v>
      </c>
      <c r="J10">
        <v>-1.7999999999998909E-2</v>
      </c>
      <c r="Q10">
        <v>0.15746484899148069</v>
      </c>
      <c r="S10">
        <v>-0.146048520021516</v>
      </c>
      <c r="T10">
        <v>0.1153786357514264</v>
      </c>
      <c r="U10">
        <v>6.1486925364761191E-2</v>
      </c>
      <c r="V10">
        <v>0.13448571138769691</v>
      </c>
    </row>
    <row r="11" spans="1:26" x14ac:dyDescent="0.2">
      <c r="A11" s="15">
        <v>35803.5</v>
      </c>
      <c r="B11" t="b">
        <v>1</v>
      </c>
      <c r="C11">
        <v>-3.000000000000114E-2</v>
      </c>
      <c r="D11">
        <v>-3.4999999999996589E-2</v>
      </c>
      <c r="E11">
        <v>-4.0000000000006253E-2</v>
      </c>
      <c r="F11">
        <v>-3.4999999999996589E-2</v>
      </c>
      <c r="G11">
        <v>-1.200000000000045E-2</v>
      </c>
      <c r="H11">
        <v>-1.8000000000000679E-2</v>
      </c>
      <c r="I11">
        <v>-2.0999999999999911E-2</v>
      </c>
      <c r="J11">
        <v>-1.4500000000000851E-2</v>
      </c>
      <c r="Q11">
        <v>2.822068594991833E-2</v>
      </c>
      <c r="S11">
        <v>-0.39455078616700229</v>
      </c>
      <c r="T11">
        <v>3.6436140607065681E-3</v>
      </c>
      <c r="U11">
        <v>5.9445112390108079E-2</v>
      </c>
      <c r="V11">
        <v>-9.4827177540537377E-3</v>
      </c>
    </row>
    <row r="12" spans="1:26" x14ac:dyDescent="0.2">
      <c r="A12" s="15">
        <v>35831.5</v>
      </c>
      <c r="B12" t="b">
        <v>1</v>
      </c>
      <c r="C12">
        <v>-2.0000000000010228E-2</v>
      </c>
      <c r="D12">
        <v>-1.9999999999996021E-2</v>
      </c>
      <c r="E12">
        <v>-1.0000000000005119E-2</v>
      </c>
      <c r="F12">
        <v>-1.999999999998181E-2</v>
      </c>
      <c r="G12">
        <v>-3.0000000000010019E-3</v>
      </c>
      <c r="H12">
        <v>-3.050000000000086E-2</v>
      </c>
      <c r="I12">
        <v>-2.2000000000000242E-2</v>
      </c>
      <c r="J12">
        <v>-1.6499999999999741E-2</v>
      </c>
      <c r="Q12">
        <v>-6.1622432514582208E-2</v>
      </c>
      <c r="S12">
        <v>-9.0713924759626252E-2</v>
      </c>
      <c r="T12">
        <v>-2.6712357676956341E-2</v>
      </c>
      <c r="U12">
        <v>2.8240610184752771E-2</v>
      </c>
      <c r="V12">
        <v>-4.5899093416096548E-2</v>
      </c>
    </row>
    <row r="13" spans="1:26" x14ac:dyDescent="0.2">
      <c r="A13" s="15">
        <v>35837.4375</v>
      </c>
      <c r="B13" t="b">
        <v>0</v>
      </c>
      <c r="C13">
        <v>6.0000000000002267E-2</v>
      </c>
      <c r="D13">
        <v>5.0000000000011369E-2</v>
      </c>
      <c r="E13">
        <v>3.9999999999992042E-2</v>
      </c>
      <c r="F13">
        <v>1.9999999999996021E-2</v>
      </c>
      <c r="G13">
        <v>1.9000000000000131E-2</v>
      </c>
      <c r="H13">
        <v>4.1000000000000369E-2</v>
      </c>
      <c r="I13">
        <v>3.900000000000059E-2</v>
      </c>
      <c r="J13">
        <v>3.700000000000081E-2</v>
      </c>
      <c r="Q13">
        <v>0.24855760688444661</v>
      </c>
      <c r="S13">
        <v>0.38125737978844398</v>
      </c>
      <c r="T13">
        <v>0.1551263824790112</v>
      </c>
      <c r="U13">
        <v>4.2048356228519879E-2</v>
      </c>
      <c r="V13">
        <v>0.1920478575896141</v>
      </c>
    </row>
    <row r="14" spans="1:26" x14ac:dyDescent="0.2">
      <c r="A14" s="15">
        <v>35859.5</v>
      </c>
      <c r="B14" t="b">
        <v>1</v>
      </c>
      <c r="C14">
        <v>-8.0000000000012506E-2</v>
      </c>
      <c r="D14">
        <v>-8.0000000000012506E-2</v>
      </c>
      <c r="E14">
        <v>-6.9999999999993179E-2</v>
      </c>
      <c r="F14">
        <v>-6.0000000000002267E-2</v>
      </c>
      <c r="G14">
        <v>4.9999999999990052E-3</v>
      </c>
      <c r="H14">
        <v>-5.4999999999999723E-2</v>
      </c>
      <c r="I14">
        <v>-5.2999999999999943E-2</v>
      </c>
      <c r="J14">
        <v>-3.3499999999999197E-2</v>
      </c>
      <c r="Q14">
        <v>0.20430831002011021</v>
      </c>
      <c r="S14">
        <v>-0.1363987905270676</v>
      </c>
      <c r="T14">
        <v>0.10079385480378281</v>
      </c>
      <c r="U14">
        <v>-4.592422583584721E-2</v>
      </c>
      <c r="V14">
        <v>0.13488332864051239</v>
      </c>
    </row>
    <row r="15" spans="1:26" x14ac:dyDescent="0.2">
      <c r="A15" s="15">
        <v>35894.458333333343</v>
      </c>
      <c r="B15" t="b">
        <v>1</v>
      </c>
      <c r="C15">
        <v>1.000000000001933E-2</v>
      </c>
      <c r="D15">
        <v>9.9999999999909051E-3</v>
      </c>
      <c r="E15">
        <v>9.9999999999909051E-3</v>
      </c>
      <c r="F15">
        <v>4.9999999999954534E-3</v>
      </c>
      <c r="G15">
        <v>4.0000000000004476E-3</v>
      </c>
      <c r="H15">
        <v>1.049999999999951E-2</v>
      </c>
      <c r="I15">
        <v>1.2999999999999901E-2</v>
      </c>
      <c r="J15">
        <v>4.5000000000001714E-3</v>
      </c>
      <c r="Q15">
        <v>-8.1376897143172755E-3</v>
      </c>
      <c r="S15">
        <v>-7.4880568996903207E-2</v>
      </c>
      <c r="T15">
        <v>-8.4606544367034076E-3</v>
      </c>
      <c r="U15">
        <v>5.6057360804743439E-2</v>
      </c>
      <c r="V15">
        <v>-2.4653414211798012E-2</v>
      </c>
    </row>
    <row r="16" spans="1:26" x14ac:dyDescent="0.2">
      <c r="A16" s="15">
        <v>35922.458333333343</v>
      </c>
      <c r="B16" t="b">
        <v>1</v>
      </c>
      <c r="C16">
        <v>-1.0000000000005119E-2</v>
      </c>
      <c r="D16">
        <v>-9.9999999999909051E-3</v>
      </c>
      <c r="E16">
        <v>0</v>
      </c>
      <c r="F16">
        <v>-9.9999999999909051E-3</v>
      </c>
      <c r="G16">
        <v>-1.799999999999979E-2</v>
      </c>
      <c r="H16">
        <v>-2.6500000000000409E-2</v>
      </c>
      <c r="I16">
        <v>-1.000000000000068E-2</v>
      </c>
      <c r="J16">
        <v>-1.9499999999999851E-2</v>
      </c>
      <c r="Q16">
        <v>0.20110615123803649</v>
      </c>
      <c r="S16">
        <v>0.13292250159631891</v>
      </c>
      <c r="T16">
        <v>9.5333827339345589E-2</v>
      </c>
      <c r="U16">
        <v>-3.5087719303419358E-3</v>
      </c>
      <c r="V16">
        <v>0.12641480905131169</v>
      </c>
    </row>
    <row r="17" spans="1:22" x14ac:dyDescent="0.2">
      <c r="A17" s="15">
        <v>35928.395833333343</v>
      </c>
      <c r="B17" t="b">
        <v>0</v>
      </c>
      <c r="C17">
        <v>-1.000000000001933E-2</v>
      </c>
      <c r="D17">
        <v>-1.0000000000005119E-2</v>
      </c>
      <c r="E17">
        <v>-9.9999999999909051E-3</v>
      </c>
      <c r="F17">
        <v>-4.9999999999954534E-3</v>
      </c>
      <c r="G17">
        <v>-4.9999999999998934E-3</v>
      </c>
      <c r="H17">
        <v>2.6500000000000409E-2</v>
      </c>
      <c r="I17">
        <v>-5.999999999998451E-3</v>
      </c>
      <c r="J17">
        <v>-1.500000000000057E-2</v>
      </c>
      <c r="Q17">
        <v>-0.16650020496479101</v>
      </c>
      <c r="S17">
        <v>1.5281874198784349E-2</v>
      </c>
      <c r="T17">
        <v>-0.1472196634244938</v>
      </c>
      <c r="U17">
        <v>0</v>
      </c>
      <c r="V17">
        <v>-0.18598421982289889</v>
      </c>
    </row>
    <row r="18" spans="1:22" x14ac:dyDescent="0.2">
      <c r="A18" s="15">
        <v>35950.458333333343</v>
      </c>
      <c r="B18" t="b">
        <v>1</v>
      </c>
      <c r="C18">
        <v>0.1899999999999977</v>
      </c>
      <c r="D18">
        <v>0.21999999999999889</v>
      </c>
      <c r="E18">
        <v>0.1899999999999977</v>
      </c>
      <c r="F18">
        <v>0.19000000000001191</v>
      </c>
      <c r="G18">
        <v>4.1999999999999822E-2</v>
      </c>
      <c r="H18">
        <v>7.6999999999999957E-2</v>
      </c>
      <c r="I18">
        <v>6.6999999999999282E-2</v>
      </c>
      <c r="J18">
        <v>1.9499999999999851E-2</v>
      </c>
      <c r="Q18">
        <v>-0.56122596289037574</v>
      </c>
      <c r="R18">
        <v>-0.55254864860689423</v>
      </c>
      <c r="S18">
        <v>0.51179055230986137</v>
      </c>
      <c r="T18">
        <v>-0.45231029638273412</v>
      </c>
      <c r="U18">
        <v>-0.15178348474364611</v>
      </c>
      <c r="V18">
        <v>-0.55041164117346852</v>
      </c>
    </row>
    <row r="19" spans="1:22" x14ac:dyDescent="0.2">
      <c r="A19" s="15">
        <v>36013.458333333343</v>
      </c>
      <c r="B19" t="b">
        <v>1</v>
      </c>
      <c r="C19">
        <v>-8.99999999999892E-2</v>
      </c>
      <c r="D19">
        <v>-6.9999999999993179E-2</v>
      </c>
      <c r="E19">
        <v>-7.000000000000739E-2</v>
      </c>
      <c r="F19">
        <v>-6.9999999999993179E-2</v>
      </c>
      <c r="G19">
        <v>-1.799999999999979E-2</v>
      </c>
      <c r="H19">
        <v>-6.4000000000000057E-2</v>
      </c>
      <c r="I19">
        <v>-7.5499999999999901E-2</v>
      </c>
      <c r="J19">
        <v>-5.8000000000000718E-2</v>
      </c>
      <c r="Q19">
        <v>1.7830079391046642E-2</v>
      </c>
      <c r="R19">
        <v>7.3354117032806698E-3</v>
      </c>
      <c r="S19">
        <v>-3.6733194976541483E-2</v>
      </c>
      <c r="T19">
        <v>-3.3867153561118357E-2</v>
      </c>
      <c r="U19">
        <v>1.8765070699373609E-3</v>
      </c>
      <c r="V19">
        <v>-4.2951483381330043E-2</v>
      </c>
    </row>
    <row r="20" spans="1:22" x14ac:dyDescent="0.2">
      <c r="A20" s="15">
        <v>36020.395833333343</v>
      </c>
      <c r="B20" t="b">
        <v>0</v>
      </c>
      <c r="C20">
        <v>3.000000000000114E-2</v>
      </c>
      <c r="D20">
        <v>4.9999999999997158E-2</v>
      </c>
      <c r="E20">
        <v>6.0000000000002267E-2</v>
      </c>
      <c r="F20">
        <v>6.4999999999997726E-2</v>
      </c>
      <c r="G20">
        <v>1.399999999999935E-2</v>
      </c>
      <c r="H20">
        <v>4.1500000000000981E-2</v>
      </c>
      <c r="I20">
        <v>9.9999999999997868E-3</v>
      </c>
      <c r="J20">
        <v>2.4000000000000021E-2</v>
      </c>
      <c r="Q20">
        <v>0.1113069403479585</v>
      </c>
      <c r="R20">
        <v>0.24297769933728119</v>
      </c>
      <c r="S20">
        <v>3.0759766468321459E-2</v>
      </c>
      <c r="T20">
        <v>5.4539635462106162E-2</v>
      </c>
      <c r="U20">
        <v>-0.20351407879024919</v>
      </c>
      <c r="V20">
        <v>0.15829123299170081</v>
      </c>
    </row>
    <row r="21" spans="1:22" x14ac:dyDescent="0.2">
      <c r="A21" s="15">
        <v>36048.458333333343</v>
      </c>
      <c r="B21" t="b">
        <v>1</v>
      </c>
      <c r="C21">
        <v>5.5000000000006821E-2</v>
      </c>
      <c r="D21">
        <v>-6.0000000000002267E-2</v>
      </c>
      <c r="E21">
        <v>-6.9999999999993179E-2</v>
      </c>
      <c r="F21">
        <v>-4.9999999999997158E-2</v>
      </c>
      <c r="G21">
        <v>-2.3500000000000298E-2</v>
      </c>
      <c r="H21">
        <v>-7.2000000000000952E-2</v>
      </c>
      <c r="I21">
        <v>-5.1499999999999879E-2</v>
      </c>
      <c r="J21">
        <v>-2.5000000000000359E-2</v>
      </c>
      <c r="Q21">
        <v>-1.0848983455654211</v>
      </c>
      <c r="R21">
        <v>9.4131283877551652E-2</v>
      </c>
      <c r="S21">
        <v>7.1826183730770765E-2</v>
      </c>
      <c r="T21">
        <v>-0.78656898583813017</v>
      </c>
      <c r="U21">
        <v>-9.974855879943334E-2</v>
      </c>
      <c r="V21">
        <v>-0.99055976054773964</v>
      </c>
    </row>
    <row r="22" spans="1:22" x14ac:dyDescent="0.2">
      <c r="A22" s="15">
        <v>36076.458333333343</v>
      </c>
      <c r="B22" t="b">
        <v>1</v>
      </c>
      <c r="C22">
        <v>-9.0000000000003411E-2</v>
      </c>
      <c r="D22">
        <v>-6.9999999999993179E-2</v>
      </c>
      <c r="E22">
        <v>-5.5000000000006821E-2</v>
      </c>
      <c r="F22">
        <v>-3.000000000000114E-2</v>
      </c>
      <c r="G22">
        <v>8.9999999999994529E-3</v>
      </c>
      <c r="H22">
        <v>-2.8999999999999911E-2</v>
      </c>
      <c r="I22">
        <v>-5.9999999999999609E-2</v>
      </c>
      <c r="J22">
        <v>-3.0000000000000249E-2</v>
      </c>
      <c r="Q22">
        <v>-0.35785744957581761</v>
      </c>
      <c r="R22">
        <v>-0.28634303882421358</v>
      </c>
      <c r="S22">
        <v>0.33968705997527587</v>
      </c>
      <c r="T22">
        <v>-0.34373181595560709</v>
      </c>
      <c r="U22">
        <v>-0.2302781799847935</v>
      </c>
      <c r="V22">
        <v>-0.33169641944505202</v>
      </c>
    </row>
    <row r="23" spans="1:22" x14ac:dyDescent="0.2">
      <c r="A23" s="15">
        <v>36104.5</v>
      </c>
      <c r="B23" t="b">
        <v>1</v>
      </c>
      <c r="C23">
        <v>-0.1000000000000085</v>
      </c>
      <c r="D23">
        <v>-6.0000000000002267E-2</v>
      </c>
      <c r="E23">
        <v>-5.0000000000011369E-2</v>
      </c>
      <c r="F23">
        <v>-3.9999999999992042E-2</v>
      </c>
      <c r="G23">
        <v>-2.4000000000000909E-2</v>
      </c>
      <c r="H23">
        <v>-0.1359999999999992</v>
      </c>
      <c r="I23">
        <v>-0.1140000000000008</v>
      </c>
      <c r="J23">
        <v>-7.099999999999973E-2</v>
      </c>
      <c r="Q23">
        <v>-3.5842294290432619E-2</v>
      </c>
      <c r="R23">
        <v>0.33658260511275978</v>
      </c>
      <c r="S23">
        <v>-0.30501178764576048</v>
      </c>
      <c r="T23">
        <v>-0.120865789164327</v>
      </c>
      <c r="U23">
        <v>9.3040196028141509E-2</v>
      </c>
      <c r="V23">
        <v>-0.16602606091157671</v>
      </c>
    </row>
    <row r="24" spans="1:22" x14ac:dyDescent="0.2">
      <c r="A24" s="15">
        <v>36110.4375</v>
      </c>
      <c r="B24" t="b">
        <v>0</v>
      </c>
      <c r="C24">
        <v>0.12999999999999551</v>
      </c>
      <c r="D24">
        <v>0.14000000000001481</v>
      </c>
      <c r="E24">
        <v>0.125</v>
      </c>
      <c r="F24">
        <v>0.1149999999999949</v>
      </c>
      <c r="G24">
        <v>7.9000000000000625E-2</v>
      </c>
      <c r="H24">
        <v>0.13900000000000109</v>
      </c>
      <c r="I24">
        <v>0.13499999999999979</v>
      </c>
      <c r="J24">
        <v>0.113999999999999</v>
      </c>
      <c r="Q24">
        <v>0.27164087692131028</v>
      </c>
      <c r="R24">
        <v>-0.47532990067011133</v>
      </c>
      <c r="S24">
        <v>0.33765482788678008</v>
      </c>
      <c r="T24">
        <v>0.13233288980927679</v>
      </c>
      <c r="U24">
        <v>0.1556835023665144</v>
      </c>
      <c r="V24">
        <v>0.13669545474658659</v>
      </c>
    </row>
    <row r="25" spans="1:22" x14ac:dyDescent="0.2">
      <c r="A25" s="15">
        <v>36139.5</v>
      </c>
      <c r="B25" t="b">
        <v>1</v>
      </c>
      <c r="C25">
        <v>-4.9999999999997158E-2</v>
      </c>
      <c r="D25">
        <v>-8.0000000000012506E-2</v>
      </c>
      <c r="E25">
        <v>-6.0000000000002267E-2</v>
      </c>
      <c r="F25">
        <v>-5.0000000000011369E-2</v>
      </c>
      <c r="G25">
        <v>-1.200000000000045E-2</v>
      </c>
      <c r="H25">
        <v>-6.2000000000001172E-2</v>
      </c>
      <c r="I25">
        <v>-3.099999999999881E-2</v>
      </c>
      <c r="J25">
        <v>-1.1000000000001011E-2</v>
      </c>
      <c r="Q25">
        <v>0.1050788187753824</v>
      </c>
      <c r="R25">
        <v>-0.16200038760432281</v>
      </c>
      <c r="S25">
        <v>0.216463315837359</v>
      </c>
      <c r="T25">
        <v>5.0782122706891641E-2</v>
      </c>
      <c r="U25">
        <v>3.5525092582133773E-2</v>
      </c>
      <c r="V25">
        <v>5.7862761668161511E-2</v>
      </c>
    </row>
    <row r="26" spans="1:22" x14ac:dyDescent="0.2">
      <c r="A26" s="15">
        <v>36167.5</v>
      </c>
      <c r="B26" t="b">
        <v>1</v>
      </c>
      <c r="C26">
        <v>-7.000000000000739E-2</v>
      </c>
      <c r="D26">
        <v>-6.9999999999993179E-2</v>
      </c>
      <c r="E26">
        <v>-9.0000000000003411E-2</v>
      </c>
      <c r="F26">
        <v>-8.0000000000012506E-2</v>
      </c>
      <c r="G26">
        <v>9.9999999999944578E-4</v>
      </c>
      <c r="H26">
        <v>-1.699999999999946E-2</v>
      </c>
      <c r="I26">
        <v>-6.0000000000002274E-3</v>
      </c>
      <c r="J26">
        <v>-3.0000000000001141E-3</v>
      </c>
      <c r="Q26">
        <v>6.4966706848849753E-2</v>
      </c>
      <c r="R26">
        <v>8.4931705862672402E-2</v>
      </c>
      <c r="S26">
        <v>-0.16958395439627341</v>
      </c>
      <c r="T26">
        <v>0.13560497757396209</v>
      </c>
      <c r="U26">
        <v>2.828454268615133E-2</v>
      </c>
      <c r="V26">
        <v>0.13393880020032611</v>
      </c>
    </row>
    <row r="27" spans="1:22" x14ac:dyDescent="0.2">
      <c r="A27" s="15">
        <v>36195.5</v>
      </c>
      <c r="B27" t="b">
        <v>1</v>
      </c>
      <c r="C27">
        <v>-0.16999999999998749</v>
      </c>
      <c r="D27">
        <v>-8.5000000000007958E-2</v>
      </c>
      <c r="E27">
        <v>-6.0000000000002267E-2</v>
      </c>
      <c r="F27">
        <v>-4.0000000000006253E-2</v>
      </c>
      <c r="G27">
        <v>-4.4999999999999929E-2</v>
      </c>
      <c r="H27">
        <v>-0.13899999999999929</v>
      </c>
      <c r="I27">
        <v>-7.7999999999999403E-2</v>
      </c>
      <c r="J27">
        <v>-7.2000000000000952E-2</v>
      </c>
      <c r="Q27">
        <v>0.32428415729486909</v>
      </c>
      <c r="R27">
        <v>0.2032078498812098</v>
      </c>
      <c r="S27">
        <v>-0.19263999107996449</v>
      </c>
      <c r="T27">
        <v>0.36756026903412931</v>
      </c>
      <c r="U27">
        <v>0.27868463702793628</v>
      </c>
      <c r="V27">
        <v>0.40721744311247221</v>
      </c>
    </row>
    <row r="28" spans="1:22" x14ac:dyDescent="0.2">
      <c r="A28" s="15">
        <v>36201.4375</v>
      </c>
      <c r="B28" t="b">
        <v>0</v>
      </c>
      <c r="C28">
        <v>-6.9999999999993179E-2</v>
      </c>
      <c r="D28">
        <v>-6.0000000000002267E-2</v>
      </c>
      <c r="E28">
        <v>-7.000000000000739E-2</v>
      </c>
      <c r="F28">
        <v>-6.0000000000002267E-2</v>
      </c>
      <c r="G28">
        <v>0</v>
      </c>
      <c r="H28">
        <v>0</v>
      </c>
      <c r="I28">
        <v>0</v>
      </c>
      <c r="J28">
        <v>0</v>
      </c>
      <c r="Q28">
        <v>-0.13072466892776899</v>
      </c>
      <c r="R28">
        <v>0.28835083416520751</v>
      </c>
      <c r="S28">
        <v>-0.17768523760743449</v>
      </c>
      <c r="T28">
        <v>-8.6991402375588223E-2</v>
      </c>
      <c r="U28">
        <v>-5.040420400223411E-2</v>
      </c>
      <c r="V28">
        <v>-9.2277430789181381E-2</v>
      </c>
    </row>
    <row r="29" spans="1:22" x14ac:dyDescent="0.2">
      <c r="A29" s="15">
        <v>36222.5</v>
      </c>
      <c r="B29" t="b">
        <v>1</v>
      </c>
      <c r="C29">
        <v>0.14000000000001481</v>
      </c>
      <c r="D29">
        <v>0.1000000000000085</v>
      </c>
      <c r="E29">
        <v>0.1000000000000085</v>
      </c>
      <c r="F29">
        <v>7.00000000000216E-2</v>
      </c>
      <c r="G29">
        <v>4.4000000000000483E-2</v>
      </c>
      <c r="H29">
        <v>0.12800000000000011</v>
      </c>
      <c r="I29">
        <v>0.109</v>
      </c>
      <c r="J29">
        <v>7.9000000000000625E-2</v>
      </c>
      <c r="Q29">
        <v>-0.60780474589682854</v>
      </c>
      <c r="R29">
        <v>-0.31850699123533838</v>
      </c>
      <c r="S29">
        <v>0.23503227048935571</v>
      </c>
      <c r="T29">
        <v>-0.45793993119923471</v>
      </c>
      <c r="U29">
        <v>2.4567006634015339E-2</v>
      </c>
      <c r="V29">
        <v>-0.62753807699425579</v>
      </c>
    </row>
    <row r="30" spans="1:22" x14ac:dyDescent="0.2">
      <c r="A30" s="15">
        <v>36258.458333333343</v>
      </c>
      <c r="B30" t="b">
        <v>1</v>
      </c>
      <c r="C30">
        <v>0</v>
      </c>
      <c r="D30">
        <v>-5.0000000000096634E-3</v>
      </c>
      <c r="E30">
        <v>1.0000000000005119E-2</v>
      </c>
      <c r="F30">
        <v>0</v>
      </c>
      <c r="G30">
        <v>-3.9999999999995586E-3</v>
      </c>
      <c r="H30">
        <v>-3.000000000000114E-2</v>
      </c>
      <c r="I30">
        <v>-2.8000000000000469E-2</v>
      </c>
      <c r="J30">
        <v>-1.2999999999999901E-2</v>
      </c>
      <c r="Q30">
        <v>-0.35324871628097299</v>
      </c>
      <c r="R30">
        <v>-8.9053809224928671E-2</v>
      </c>
      <c r="S30">
        <v>2.493610136978219E-2</v>
      </c>
      <c r="T30">
        <v>-0.2445949969225012</v>
      </c>
      <c r="U30">
        <v>6.1727276337819603E-2</v>
      </c>
      <c r="V30">
        <v>-0.31210915155361357</v>
      </c>
    </row>
    <row r="31" spans="1:22" x14ac:dyDescent="0.2">
      <c r="A31" s="15">
        <v>36286.458333333343</v>
      </c>
      <c r="B31" t="b">
        <v>1</v>
      </c>
      <c r="C31">
        <v>4.9999999999982947E-2</v>
      </c>
      <c r="D31">
        <v>0</v>
      </c>
      <c r="E31">
        <v>0</v>
      </c>
      <c r="F31">
        <v>0</v>
      </c>
      <c r="G31">
        <v>-2.0000000000006679E-3</v>
      </c>
      <c r="H31">
        <v>-6.9999999999996732E-3</v>
      </c>
      <c r="I31">
        <v>-8.0000000000008953E-3</v>
      </c>
      <c r="J31">
        <v>-2.0000000000006679E-3</v>
      </c>
      <c r="Q31">
        <v>-0.25511203971700519</v>
      </c>
      <c r="R31">
        <v>9.8339582039081108E-2</v>
      </c>
      <c r="S31">
        <v>-0.17131149223151709</v>
      </c>
      <c r="T31">
        <v>-0.1961325441832287</v>
      </c>
      <c r="U31">
        <v>0</v>
      </c>
      <c r="V31">
        <v>-0.23572480751806779</v>
      </c>
    </row>
    <row r="32" spans="1:22" x14ac:dyDescent="0.2">
      <c r="A32" s="15">
        <v>36292.395833333343</v>
      </c>
      <c r="B32" t="b">
        <v>0</v>
      </c>
      <c r="C32">
        <v>-9.9999999999909051E-3</v>
      </c>
      <c r="D32">
        <v>-2.0000000000010228E-2</v>
      </c>
      <c r="E32">
        <v>-9.9999999999909051E-3</v>
      </c>
      <c r="F32">
        <v>0</v>
      </c>
      <c r="G32">
        <v>7.0000000000014504E-3</v>
      </c>
      <c r="H32">
        <v>-5.999999999998451E-3</v>
      </c>
      <c r="I32">
        <v>-3.9999999999995586E-3</v>
      </c>
      <c r="J32">
        <v>6.0000000000002274E-3</v>
      </c>
      <c r="Q32">
        <v>0.21591073612319181</v>
      </c>
      <c r="R32">
        <v>-4.5561546843302381E-2</v>
      </c>
      <c r="S32">
        <v>2.163064143285709E-2</v>
      </c>
      <c r="T32">
        <v>0.1327140208063611</v>
      </c>
      <c r="U32">
        <v>-0.17958085534871771</v>
      </c>
      <c r="V32">
        <v>0.20472448095244999</v>
      </c>
    </row>
    <row r="33" spans="1:22" x14ac:dyDescent="0.2">
      <c r="A33" s="15">
        <v>36321.458333333343</v>
      </c>
      <c r="B33" t="b">
        <v>1</v>
      </c>
      <c r="C33">
        <v>-9.0000000000003411E-2</v>
      </c>
      <c r="D33">
        <v>-6.0000000000002267E-2</v>
      </c>
      <c r="E33">
        <v>-4.9999999999997158E-2</v>
      </c>
      <c r="F33">
        <v>-3.000000000000114E-2</v>
      </c>
      <c r="G33">
        <v>9.9999999999997868E-3</v>
      </c>
      <c r="H33">
        <v>-1.399999999999935E-2</v>
      </c>
      <c r="I33">
        <v>0</v>
      </c>
      <c r="J33">
        <v>1.9000000000000131E-2</v>
      </c>
      <c r="Q33">
        <v>-0.19888862946902461</v>
      </c>
      <c r="R33">
        <v>0.2218737760357925</v>
      </c>
      <c r="S33">
        <v>-0.15300788321334841</v>
      </c>
      <c r="T33">
        <v>-9.2537606312816933E-2</v>
      </c>
      <c r="U33">
        <v>3.7921881379816107E-2</v>
      </c>
      <c r="V33">
        <v>-0.1311496073946046</v>
      </c>
    </row>
    <row r="34" spans="1:22" x14ac:dyDescent="0.2">
      <c r="A34" s="15">
        <v>36349.458333333343</v>
      </c>
      <c r="B34" t="b">
        <v>1</v>
      </c>
      <c r="C34">
        <v>3.000000000000114E-2</v>
      </c>
      <c r="D34">
        <v>1.999999999998181E-2</v>
      </c>
      <c r="E34">
        <v>4.0000000000006253E-2</v>
      </c>
      <c r="F34">
        <v>3.000000000000114E-2</v>
      </c>
      <c r="G34">
        <v>6.0000000000002274E-3</v>
      </c>
      <c r="H34">
        <v>2.8999999999999911E-2</v>
      </c>
      <c r="I34">
        <v>2.699999999999925E-2</v>
      </c>
      <c r="J34">
        <v>1.1000000000001011E-2</v>
      </c>
      <c r="Q34">
        <v>-0.2307155092131552</v>
      </c>
      <c r="R34">
        <v>0.13745706631666371</v>
      </c>
      <c r="S34">
        <v>-0.2217331435326528</v>
      </c>
      <c r="T34">
        <v>-0.14494601340902591</v>
      </c>
      <c r="U34">
        <v>4.9435202819267943E-3</v>
      </c>
      <c r="V34">
        <v>-0.17173647996992261</v>
      </c>
    </row>
    <row r="35" spans="1:22" x14ac:dyDescent="0.2">
      <c r="A35" s="15">
        <v>36377.458333333343</v>
      </c>
      <c r="B35" t="b">
        <v>1</v>
      </c>
      <c r="C35">
        <v>0</v>
      </c>
      <c r="D35">
        <v>1.000000000001933E-2</v>
      </c>
      <c r="E35">
        <v>3.50000000000108E-2</v>
      </c>
      <c r="F35">
        <v>4.0000000000006253E-2</v>
      </c>
      <c r="G35">
        <v>3.700000000000081E-2</v>
      </c>
      <c r="H35">
        <v>1.500000000000057E-2</v>
      </c>
      <c r="I35">
        <v>2.2999999999997911E-2</v>
      </c>
      <c r="J35">
        <v>3.5000000000000142E-2</v>
      </c>
      <c r="Q35">
        <v>0.24836640686055489</v>
      </c>
      <c r="R35">
        <v>-3.7479855016904651E-2</v>
      </c>
      <c r="S35">
        <v>0</v>
      </c>
      <c r="T35">
        <v>0.1733669428024314</v>
      </c>
      <c r="U35">
        <v>6.6866150706346161E-3</v>
      </c>
      <c r="V35">
        <v>0.21354815799793411</v>
      </c>
    </row>
    <row r="36" spans="1:22" x14ac:dyDescent="0.2">
      <c r="A36" s="15">
        <v>36383.395833333343</v>
      </c>
      <c r="B36" t="b">
        <v>0</v>
      </c>
      <c r="C36">
        <v>-2.0000000000010228E-2</v>
      </c>
      <c r="D36">
        <v>-4.0000000000006253E-2</v>
      </c>
      <c r="E36">
        <v>-6.0000000000002267E-2</v>
      </c>
      <c r="F36">
        <v>-5.9999999999988063E-2</v>
      </c>
      <c r="G36">
        <v>-3.7999999999998479E-2</v>
      </c>
      <c r="H36">
        <v>-3.8999999999999702E-2</v>
      </c>
      <c r="I36">
        <v>-4.2999999999999261E-2</v>
      </c>
      <c r="J36">
        <v>-4.0999999999998593E-2</v>
      </c>
      <c r="Q36">
        <v>0.59654677924288535</v>
      </c>
      <c r="R36">
        <v>-0.15089787079393349</v>
      </c>
      <c r="S36">
        <v>-0.10523384548476861</v>
      </c>
      <c r="T36">
        <v>0.39257120910463073</v>
      </c>
      <c r="U36">
        <v>8.442096167220825E-2</v>
      </c>
      <c r="V36">
        <v>0.46976108696571828</v>
      </c>
    </row>
    <row r="37" spans="1:22" x14ac:dyDescent="0.2">
      <c r="A37" s="15">
        <v>36411.458333333343</v>
      </c>
      <c r="B37" t="b">
        <v>1</v>
      </c>
      <c r="C37">
        <v>0.20999999999999369</v>
      </c>
      <c r="D37">
        <v>0.25</v>
      </c>
      <c r="E37">
        <v>0.28999999999999199</v>
      </c>
      <c r="F37">
        <v>0.15500000000000111</v>
      </c>
      <c r="G37">
        <v>7.3999999999999844E-2</v>
      </c>
      <c r="H37">
        <v>0.2309999999999999</v>
      </c>
      <c r="I37">
        <v>0.22300000000000081</v>
      </c>
      <c r="J37">
        <v>0.1319999999999979</v>
      </c>
      <c r="Q37">
        <v>-0.85433071827014828</v>
      </c>
      <c r="R37">
        <v>-0.35004982095498599</v>
      </c>
      <c r="S37">
        <v>0.56738180641158209</v>
      </c>
      <c r="T37">
        <v>-0.70075522048102812</v>
      </c>
      <c r="U37">
        <v>-0.30775016758275342</v>
      </c>
      <c r="V37">
        <v>-0.80199810001136029</v>
      </c>
    </row>
    <row r="38" spans="1:22" x14ac:dyDescent="0.2">
      <c r="A38" s="15">
        <v>36440.458333333343</v>
      </c>
      <c r="B38" t="b">
        <v>1</v>
      </c>
      <c r="C38">
        <v>-4.0000000000006253E-2</v>
      </c>
      <c r="D38">
        <v>-5.0000000000011369E-2</v>
      </c>
      <c r="E38">
        <v>-5.499999999999261E-2</v>
      </c>
      <c r="F38">
        <v>-4.9999999999982947E-2</v>
      </c>
      <c r="G38">
        <v>-7.0000000000014504E-3</v>
      </c>
      <c r="H38">
        <v>-6.2000000000001172E-2</v>
      </c>
      <c r="I38">
        <v>-3.5999999999999588E-2</v>
      </c>
      <c r="J38">
        <v>-2.2000000000000242E-2</v>
      </c>
      <c r="Q38">
        <v>0.1638132895241142</v>
      </c>
      <c r="R38">
        <v>0.1158524941318788</v>
      </c>
      <c r="S38">
        <v>-0.1089061095055683</v>
      </c>
      <c r="T38">
        <v>0.16879738488637491</v>
      </c>
      <c r="U38">
        <v>7.4630107164921355E-2</v>
      </c>
      <c r="V38">
        <v>0.18218318474600889</v>
      </c>
    </row>
    <row r="39" spans="1:22" x14ac:dyDescent="0.2">
      <c r="A39" s="15">
        <v>36468.5</v>
      </c>
      <c r="B39" t="b">
        <v>1</v>
      </c>
      <c r="C39">
        <v>-3.000000000000114E-2</v>
      </c>
      <c r="D39">
        <v>-5.0000000000096634E-3</v>
      </c>
      <c r="E39">
        <v>-5.0000000000096634E-3</v>
      </c>
      <c r="F39">
        <v>-1.500000000000057E-2</v>
      </c>
      <c r="G39">
        <v>-2.1499999999999631E-2</v>
      </c>
      <c r="H39">
        <v>-2.349999999999941E-2</v>
      </c>
      <c r="I39">
        <v>-1.6000000000000899E-2</v>
      </c>
      <c r="J39">
        <v>-2.5999999999999801E-2</v>
      </c>
      <c r="Q39">
        <v>0.46491553738599117</v>
      </c>
      <c r="R39">
        <v>0.11732041547464429</v>
      </c>
      <c r="S39">
        <v>-0.24074734692446501</v>
      </c>
      <c r="T39">
        <v>0.35385500302220407</v>
      </c>
      <c r="U39">
        <v>-1.386505834204854E-2</v>
      </c>
      <c r="V39">
        <v>0.4323902994844957</v>
      </c>
    </row>
    <row r="40" spans="1:22" x14ac:dyDescent="0.2">
      <c r="A40" s="15">
        <v>36474.4375</v>
      </c>
      <c r="B40" t="b">
        <v>0</v>
      </c>
      <c r="C40">
        <v>-1.0000000000005119E-2</v>
      </c>
      <c r="D40">
        <v>-4.9999999999982947E-2</v>
      </c>
      <c r="E40">
        <v>-6.4999999999997726E-2</v>
      </c>
      <c r="F40">
        <v>-8.99999999999892E-2</v>
      </c>
      <c r="G40">
        <v>-1.300000000000168E-2</v>
      </c>
      <c r="H40">
        <v>-4.8499999999999772E-2</v>
      </c>
      <c r="I40">
        <v>-4.2500000000000433E-2</v>
      </c>
      <c r="J40">
        <v>-1.8000000000000679E-2</v>
      </c>
      <c r="Q40">
        <v>9.6270488980167102E-2</v>
      </c>
      <c r="R40">
        <v>0.1558846769291122</v>
      </c>
      <c r="S40">
        <v>-0.1233121803706467</v>
      </c>
      <c r="T40">
        <v>0.1261691199541701</v>
      </c>
      <c r="U40">
        <v>0.26546338923731128</v>
      </c>
      <c r="V40">
        <v>8.9715237498353417E-2</v>
      </c>
    </row>
    <row r="41" spans="1:22" x14ac:dyDescent="0.2">
      <c r="A41" s="15">
        <v>36503.5</v>
      </c>
      <c r="B41" t="b">
        <v>1</v>
      </c>
      <c r="C41">
        <v>-7.9999999999998295E-2</v>
      </c>
      <c r="D41">
        <v>-4.0000000000006253E-2</v>
      </c>
      <c r="E41">
        <v>-1.9999999999996021E-2</v>
      </c>
      <c r="F41">
        <v>-3.000000000000114E-2</v>
      </c>
      <c r="G41">
        <v>-3.5999999999999588E-2</v>
      </c>
      <c r="H41">
        <v>-4.1500000000000981E-2</v>
      </c>
      <c r="I41">
        <v>-3.8999999999999702E-2</v>
      </c>
      <c r="J41">
        <v>-3.6000000000000483E-2</v>
      </c>
      <c r="Q41">
        <v>3.7486880030996872E-2</v>
      </c>
      <c r="R41">
        <v>-0.16724409584559649</v>
      </c>
      <c r="S41">
        <v>0.21576976498984379</v>
      </c>
      <c r="T41">
        <v>7.7931952996664222E-2</v>
      </c>
      <c r="U41">
        <v>1.1246876995073761E-2</v>
      </c>
      <c r="V41">
        <v>8.2586927430270407E-2</v>
      </c>
    </row>
    <row r="42" spans="1:22" x14ac:dyDescent="0.2">
      <c r="A42" s="15">
        <v>36538.5</v>
      </c>
      <c r="B42" t="b">
        <v>1</v>
      </c>
      <c r="C42">
        <v>-5.9999999999988063E-2</v>
      </c>
      <c r="D42">
        <v>-5.0000000000011369E-2</v>
      </c>
      <c r="E42">
        <v>-4.0000000000020457E-2</v>
      </c>
      <c r="F42">
        <v>-9.9999999999909051E-3</v>
      </c>
      <c r="G42">
        <v>3.9999999999995586E-3</v>
      </c>
      <c r="H42">
        <v>-2.2999999999999691E-2</v>
      </c>
      <c r="I42">
        <v>-9.0000000000003411E-3</v>
      </c>
      <c r="J42">
        <v>-3.9999999999995586E-3</v>
      </c>
      <c r="Q42">
        <v>6.4270998979964133E-2</v>
      </c>
      <c r="R42">
        <v>0.25589778058625973</v>
      </c>
      <c r="S42">
        <v>-0.38894002236176561</v>
      </c>
      <c r="T42">
        <v>1.409623889060185E-2</v>
      </c>
      <c r="U42">
        <v>-5.3558176935666779E-2</v>
      </c>
      <c r="V42">
        <v>2.2789252687061889E-2</v>
      </c>
    </row>
    <row r="43" spans="1:22" x14ac:dyDescent="0.2">
      <c r="A43" s="15">
        <v>36566.5</v>
      </c>
      <c r="B43" t="b">
        <v>1</v>
      </c>
      <c r="C43">
        <v>9.9999999999909051E-3</v>
      </c>
      <c r="D43">
        <v>9.9999999999909051E-3</v>
      </c>
      <c r="E43">
        <v>9.9999999999909051E-3</v>
      </c>
      <c r="F43">
        <v>0</v>
      </c>
      <c r="G43">
        <v>-9.9999999999997868E-3</v>
      </c>
      <c r="H43">
        <v>6.0000000000002274E-3</v>
      </c>
      <c r="I43">
        <v>0</v>
      </c>
      <c r="J43">
        <v>-1.199999999999957E-2</v>
      </c>
      <c r="Q43">
        <v>-0.1678322072275478</v>
      </c>
      <c r="R43">
        <v>-0.27696335723468479</v>
      </c>
      <c r="S43">
        <v>1.552915602157157E-2</v>
      </c>
      <c r="T43">
        <v>-6.0447754214237648E-2</v>
      </c>
      <c r="U43">
        <v>6.5774330650924639E-2</v>
      </c>
      <c r="V43">
        <v>-0.12953058972448159</v>
      </c>
    </row>
    <row r="44" spans="1:22" x14ac:dyDescent="0.2">
      <c r="A44" s="15">
        <v>36573.4375</v>
      </c>
      <c r="B44" t="b">
        <v>0</v>
      </c>
      <c r="C44">
        <v>-5.0000000000011369E-2</v>
      </c>
      <c r="D44">
        <v>-6.9999999999993179E-2</v>
      </c>
      <c r="E44">
        <v>-8.0000000000012506E-2</v>
      </c>
      <c r="F44">
        <v>-8.99999999999892E-2</v>
      </c>
      <c r="G44">
        <v>-2.649999999999952E-2</v>
      </c>
      <c r="H44">
        <v>-5.1500000000000767E-2</v>
      </c>
      <c r="I44">
        <v>-5.2999999999999943E-2</v>
      </c>
      <c r="J44">
        <v>-5.400000000000027E-2</v>
      </c>
      <c r="Q44">
        <v>0.90593944945646854</v>
      </c>
      <c r="R44">
        <v>-0.11359027590524561</v>
      </c>
      <c r="S44">
        <v>-0.1271455988196806</v>
      </c>
      <c r="T44">
        <v>0.86675243554145709</v>
      </c>
      <c r="U44">
        <v>0.23363555441289921</v>
      </c>
      <c r="V44">
        <v>0.99653501032457825</v>
      </c>
    </row>
    <row r="45" spans="1:22" x14ac:dyDescent="0.2">
      <c r="A45" s="15">
        <v>36594.5</v>
      </c>
      <c r="B45" t="b">
        <v>1</v>
      </c>
      <c r="C45">
        <v>-2.499999999999147E-2</v>
      </c>
      <c r="D45">
        <v>0</v>
      </c>
      <c r="E45">
        <v>1.000000000001933E-2</v>
      </c>
      <c r="F45">
        <v>9.9999999999909051E-3</v>
      </c>
      <c r="G45">
        <v>0</v>
      </c>
      <c r="H45">
        <v>0</v>
      </c>
      <c r="I45">
        <v>0</v>
      </c>
      <c r="J45">
        <v>6.4999999999999503E-3</v>
      </c>
      <c r="Q45">
        <v>4.2118967559190423E-2</v>
      </c>
      <c r="R45">
        <v>6.5616800254581165E-2</v>
      </c>
      <c r="S45">
        <v>0</v>
      </c>
      <c r="T45">
        <v>6.2462755427304728E-2</v>
      </c>
      <c r="U45">
        <v>1.177266976060309E-2</v>
      </c>
      <c r="V45">
        <v>5.3557357383169801E-2</v>
      </c>
    </row>
    <row r="46" spans="1:22" x14ac:dyDescent="0.2">
      <c r="A46" s="15">
        <v>36622.458333333343</v>
      </c>
      <c r="B46" t="b">
        <v>1</v>
      </c>
      <c r="C46">
        <v>-5.9999999999988063E-2</v>
      </c>
      <c r="D46">
        <v>-3.9999999999992042E-2</v>
      </c>
      <c r="E46">
        <v>-2.0000000000010228E-2</v>
      </c>
      <c r="F46">
        <v>-9.9999999999909051E-3</v>
      </c>
      <c r="G46">
        <v>9.9999999999944578E-4</v>
      </c>
      <c r="H46">
        <v>-6.1499999999999673E-2</v>
      </c>
      <c r="I46">
        <v>-3.000000000000114E-2</v>
      </c>
      <c r="J46">
        <v>0</v>
      </c>
      <c r="Q46">
        <v>-7.7603604701607765E-2</v>
      </c>
      <c r="R46">
        <v>0.18951103599554389</v>
      </c>
      <c r="S46">
        <v>-0.17962095364598701</v>
      </c>
      <c r="T46">
        <v>-2.9300749354092659E-2</v>
      </c>
      <c r="U46">
        <v>0.1647629529431924</v>
      </c>
      <c r="V46">
        <v>-7.1980724792751971E-2</v>
      </c>
    </row>
    <row r="47" spans="1:22" x14ac:dyDescent="0.2">
      <c r="A47" s="15">
        <v>36650.458333333343</v>
      </c>
      <c r="B47" t="b">
        <v>1</v>
      </c>
      <c r="C47">
        <v>-3.9999999999992042E-2</v>
      </c>
      <c r="D47">
        <v>-3.000000000000114E-2</v>
      </c>
      <c r="E47">
        <v>-1.4999999999986359E-2</v>
      </c>
      <c r="F47">
        <v>-4.9999999999954534E-3</v>
      </c>
      <c r="G47">
        <v>6.9999999999996732E-3</v>
      </c>
      <c r="H47">
        <v>-2.5999999999999801E-2</v>
      </c>
      <c r="I47">
        <v>-1.050000000000129E-2</v>
      </c>
      <c r="J47">
        <v>4.9999999999998934E-3</v>
      </c>
      <c r="Q47">
        <v>-8.4318729775418433E-2</v>
      </c>
      <c r="R47">
        <v>0.54529065741480309</v>
      </c>
      <c r="S47">
        <v>-0.51676363303202066</v>
      </c>
      <c r="T47">
        <v>-8.4617837072414659E-2</v>
      </c>
      <c r="U47">
        <v>7.2077847192076661E-2</v>
      </c>
      <c r="V47">
        <v>-0.111382853714872</v>
      </c>
    </row>
    <row r="48" spans="1:22" x14ac:dyDescent="0.2">
      <c r="A48" s="15">
        <v>36656.395833333343</v>
      </c>
      <c r="B48" t="b">
        <v>0</v>
      </c>
      <c r="C48">
        <v>-1.999999999998181E-2</v>
      </c>
      <c r="D48">
        <v>-5.0000000000011369E-2</v>
      </c>
      <c r="E48">
        <v>-6.0000000000002267E-2</v>
      </c>
      <c r="F48">
        <v>-5.5000000000006821E-2</v>
      </c>
      <c r="G48">
        <v>-2.2000000000000242E-2</v>
      </c>
      <c r="H48">
        <v>-1.8000000000000679E-2</v>
      </c>
      <c r="I48">
        <v>-2.1500000000000519E-2</v>
      </c>
      <c r="J48">
        <v>-2.9500000000000529E-2</v>
      </c>
      <c r="Q48">
        <v>0</v>
      </c>
      <c r="R48">
        <v>0.42686819369718171</v>
      </c>
      <c r="S48">
        <v>-0.1180908780831089</v>
      </c>
      <c r="T48">
        <v>-6.1145252447772691E-2</v>
      </c>
      <c r="U48">
        <v>-6.2286889026950121E-2</v>
      </c>
      <c r="V48">
        <v>-7.1385696689503675E-2</v>
      </c>
    </row>
    <row r="49" spans="1:22" x14ac:dyDescent="0.2">
      <c r="A49" s="15">
        <v>36684.458333333343</v>
      </c>
      <c r="B49" t="b">
        <v>1</v>
      </c>
      <c r="C49">
        <v>-3.000000000000114E-2</v>
      </c>
      <c r="D49">
        <v>-1.000000000001933E-2</v>
      </c>
      <c r="E49">
        <v>-9.9999999999909051E-3</v>
      </c>
      <c r="F49">
        <v>-5.0000000000096634E-3</v>
      </c>
      <c r="G49">
        <v>9.0000000000003411E-3</v>
      </c>
      <c r="H49">
        <v>-9.9999999999997868E-3</v>
      </c>
      <c r="I49">
        <v>-1.149999999999984E-2</v>
      </c>
      <c r="J49">
        <v>1.9999999999997802E-3</v>
      </c>
      <c r="Q49">
        <v>-3.4574826029711403E-2</v>
      </c>
      <c r="R49">
        <v>3.1864893123923821E-2</v>
      </c>
      <c r="S49">
        <v>-0.14443753947237781</v>
      </c>
      <c r="T49">
        <v>7.3129931844277962E-2</v>
      </c>
      <c r="U49">
        <v>1.082125604909834E-2</v>
      </c>
      <c r="V49">
        <v>6.7711061034060549E-2</v>
      </c>
    </row>
    <row r="50" spans="1:22" x14ac:dyDescent="0.2">
      <c r="A50" s="15">
        <v>36713.458333333343</v>
      </c>
      <c r="B50" t="b">
        <v>1</v>
      </c>
      <c r="C50">
        <v>9.9999999999909051E-3</v>
      </c>
      <c r="D50">
        <v>1.000000000001933E-2</v>
      </c>
      <c r="E50">
        <v>9.9999999999909051E-3</v>
      </c>
      <c r="F50">
        <v>9.9999999999909051E-3</v>
      </c>
      <c r="G50">
        <v>2.5000000000003908E-3</v>
      </c>
      <c r="H50">
        <v>2.4000000000000021E-2</v>
      </c>
      <c r="I50">
        <v>3.499999999999837E-3</v>
      </c>
      <c r="J50">
        <v>4.9999999999998934E-3</v>
      </c>
      <c r="Q50">
        <v>0.302595567818571</v>
      </c>
      <c r="R50">
        <v>-0.25250546044661348</v>
      </c>
      <c r="S50">
        <v>0.16875965686843131</v>
      </c>
      <c r="T50">
        <v>0.20519921140544281</v>
      </c>
      <c r="U50">
        <v>3.4863011456195643E-2</v>
      </c>
      <c r="V50">
        <v>0.2436206970613739</v>
      </c>
    </row>
    <row r="51" spans="1:22" x14ac:dyDescent="0.2">
      <c r="A51" s="15">
        <v>36741.458333333343</v>
      </c>
      <c r="B51" t="b">
        <v>1</v>
      </c>
      <c r="C51">
        <v>-5.0000000000011369E-2</v>
      </c>
      <c r="D51">
        <v>-4.0000000000006253E-2</v>
      </c>
      <c r="E51">
        <v>-3.9999999999992042E-2</v>
      </c>
      <c r="F51">
        <v>-3.000000000000114E-2</v>
      </c>
      <c r="G51">
        <v>-2.199999999999935E-2</v>
      </c>
      <c r="H51">
        <v>-3.7500000000000533E-2</v>
      </c>
      <c r="I51">
        <v>-2.3000000000000579E-2</v>
      </c>
      <c r="J51">
        <v>-2.4999999999999471E-2</v>
      </c>
      <c r="Q51">
        <v>-0.26048876078425559</v>
      </c>
      <c r="R51">
        <v>0.19736848512224731</v>
      </c>
      <c r="S51">
        <v>-6.0577507405383813E-2</v>
      </c>
      <c r="T51">
        <v>-0.16305548484103841</v>
      </c>
      <c r="U51">
        <v>-8.7875431068596299E-2</v>
      </c>
      <c r="V51">
        <v>-0.1803056193411976</v>
      </c>
    </row>
    <row r="52" spans="1:22" x14ac:dyDescent="0.2">
      <c r="A52" s="15">
        <v>36747.395833333343</v>
      </c>
      <c r="B52" t="b">
        <v>0</v>
      </c>
      <c r="C52">
        <v>-2.0000000000010228E-2</v>
      </c>
      <c r="D52">
        <v>-3.4999999999996589E-2</v>
      </c>
      <c r="E52">
        <v>-3.000000000000114E-2</v>
      </c>
      <c r="F52">
        <v>-3.000000000000114E-2</v>
      </c>
      <c r="G52">
        <v>-8.5000000000015064E-3</v>
      </c>
      <c r="H52">
        <v>-2.5000000000000359E-2</v>
      </c>
      <c r="I52">
        <v>-4.6000000000000263E-2</v>
      </c>
      <c r="J52">
        <v>-1.6499999999999741E-2</v>
      </c>
      <c r="Q52">
        <v>-0.15862272404206121</v>
      </c>
      <c r="R52">
        <v>9.2054067339887524E-2</v>
      </c>
      <c r="S52">
        <v>-9.3255627074796621E-2</v>
      </c>
      <c r="T52">
        <v>-0.164556937774023</v>
      </c>
      <c r="U52">
        <v>0.11518867108384261</v>
      </c>
      <c r="V52">
        <v>-0.22036011399904959</v>
      </c>
    </row>
    <row r="53" spans="1:22" x14ac:dyDescent="0.2">
      <c r="A53" s="15">
        <v>36776.458333333343</v>
      </c>
      <c r="B53" t="b">
        <v>1</v>
      </c>
      <c r="C53">
        <v>-6.9999999999993179E-2</v>
      </c>
      <c r="D53">
        <v>-4.9999999999982947E-2</v>
      </c>
      <c r="E53">
        <v>-3.9999999999992042E-2</v>
      </c>
      <c r="F53">
        <v>-3.000000000000114E-2</v>
      </c>
      <c r="G53">
        <v>-9.4999999999991758E-3</v>
      </c>
      <c r="H53">
        <v>-1.8000000000000679E-2</v>
      </c>
      <c r="I53">
        <v>-2.1499999999999631E-2</v>
      </c>
      <c r="J53">
        <v>-1.05000000000004E-2</v>
      </c>
      <c r="Q53">
        <v>-0.10089498436298069</v>
      </c>
      <c r="R53">
        <v>-4.1300128617450582E-2</v>
      </c>
      <c r="S53">
        <v>-0.142984208914541</v>
      </c>
      <c r="T53">
        <v>-1.558790565582058E-3</v>
      </c>
      <c r="U53">
        <v>9.3195983546706884E-2</v>
      </c>
      <c r="V53">
        <v>-2.9941912913045599E-2</v>
      </c>
    </row>
    <row r="54" spans="1:22" x14ac:dyDescent="0.2">
      <c r="A54" s="15">
        <v>36804.458333333343</v>
      </c>
      <c r="B54" t="b">
        <v>1</v>
      </c>
      <c r="C54">
        <v>-1.0000000000005119E-2</v>
      </c>
      <c r="D54">
        <v>0</v>
      </c>
      <c r="E54">
        <v>4.9999999999954534E-3</v>
      </c>
      <c r="F54">
        <v>9.9999999999909051E-3</v>
      </c>
      <c r="G54">
        <v>1.200000000000045E-2</v>
      </c>
      <c r="H54">
        <v>4.5000000000001714E-3</v>
      </c>
      <c r="I54">
        <v>3.0000000000001141E-3</v>
      </c>
      <c r="J54">
        <v>1.2999999999999901E-2</v>
      </c>
      <c r="Q54">
        <v>9.7191182691972244E-2</v>
      </c>
      <c r="R54">
        <v>-8.3288218929453706E-3</v>
      </c>
      <c r="S54">
        <v>8.5918039480695541E-2</v>
      </c>
      <c r="T54">
        <v>8.5312105273942507E-2</v>
      </c>
      <c r="U54">
        <v>3.6006841688958957E-2</v>
      </c>
      <c r="V54">
        <v>8.7840387126220776E-2</v>
      </c>
    </row>
    <row r="55" spans="1:22" x14ac:dyDescent="0.2">
      <c r="A55" s="15">
        <v>36839.5</v>
      </c>
      <c r="B55" t="b">
        <v>1</v>
      </c>
      <c r="C55">
        <v>0</v>
      </c>
      <c r="D55">
        <v>0</v>
      </c>
      <c r="E55">
        <v>1.0000000000005119E-2</v>
      </c>
      <c r="F55">
        <v>0</v>
      </c>
      <c r="G55">
        <v>3.0000000000001141E-3</v>
      </c>
      <c r="H55">
        <v>0</v>
      </c>
      <c r="I55">
        <v>3.499999999999837E-3</v>
      </c>
      <c r="J55">
        <v>4.9999999999998934E-3</v>
      </c>
      <c r="Q55">
        <v>-3.8344293415093489E-3</v>
      </c>
      <c r="R55">
        <v>-0.1079151725531631</v>
      </c>
      <c r="S55">
        <v>6.3545861066558018E-2</v>
      </c>
      <c r="T55">
        <v>1.2213622704280169E-2</v>
      </c>
      <c r="U55">
        <v>-1.471356369847854E-3</v>
      </c>
      <c r="V55">
        <v>9.2455621366980267E-3</v>
      </c>
    </row>
    <row r="56" spans="1:22" x14ac:dyDescent="0.2">
      <c r="A56" s="15">
        <v>36846.4375</v>
      </c>
      <c r="B56" t="b">
        <v>0</v>
      </c>
      <c r="C56">
        <v>0</v>
      </c>
      <c r="D56">
        <v>0</v>
      </c>
      <c r="E56">
        <v>0</v>
      </c>
      <c r="F56">
        <v>-2.0000000000010228E-2</v>
      </c>
      <c r="G56">
        <v>-8.0000000000000071E-3</v>
      </c>
      <c r="H56">
        <v>1.049999999999951E-2</v>
      </c>
      <c r="I56">
        <v>9.9999999999997868E-3</v>
      </c>
      <c r="J56">
        <v>3.499999999999837E-3</v>
      </c>
      <c r="Q56">
        <v>0.19662656937384779</v>
      </c>
      <c r="R56">
        <v>-3.3206043805030561E-2</v>
      </c>
      <c r="S56">
        <v>-3.5077873237476347E-2</v>
      </c>
      <c r="T56">
        <v>0.1111387636485688</v>
      </c>
      <c r="U56">
        <v>2.97000299182173E-2</v>
      </c>
      <c r="V56">
        <v>0.1377421344944878</v>
      </c>
    </row>
    <row r="57" spans="1:22" x14ac:dyDescent="0.2">
      <c r="A57" s="15">
        <v>36867.5</v>
      </c>
      <c r="B57" t="b">
        <v>1</v>
      </c>
      <c r="C57">
        <v>0</v>
      </c>
      <c r="D57">
        <v>0</v>
      </c>
      <c r="E57">
        <v>-4.9999999999954534E-3</v>
      </c>
      <c r="F57">
        <v>0</v>
      </c>
      <c r="G57">
        <v>-2.4999999999995031E-3</v>
      </c>
      <c r="H57">
        <v>5.5000000000005036E-3</v>
      </c>
      <c r="I57">
        <v>-6.4999999999990621E-3</v>
      </c>
      <c r="J57">
        <v>-6.0000000000002274E-3</v>
      </c>
      <c r="Q57">
        <v>-0.2927203004395551</v>
      </c>
      <c r="R57">
        <v>0.26689327986416339</v>
      </c>
      <c r="S57">
        <v>-0.23495277203227971</v>
      </c>
      <c r="T57">
        <v>-0.2111133490560633</v>
      </c>
      <c r="U57">
        <v>-9.5430135457149845E-2</v>
      </c>
      <c r="V57">
        <v>-0.2314034682494821</v>
      </c>
    </row>
    <row r="58" spans="1:22" x14ac:dyDescent="0.2">
      <c r="A58" s="15">
        <v>36902.5</v>
      </c>
      <c r="B58" t="b">
        <v>1</v>
      </c>
      <c r="C58">
        <v>4.0000000000020457E-2</v>
      </c>
      <c r="D58">
        <v>2.5000000000005681E-2</v>
      </c>
      <c r="E58">
        <v>2.0000000000010228E-2</v>
      </c>
      <c r="F58">
        <v>4.9999999999954534E-3</v>
      </c>
      <c r="Q58">
        <v>-0.1799444293828856</v>
      </c>
      <c r="R58">
        <v>1.572450667600123E-2</v>
      </c>
      <c r="S58">
        <v>0.21383235678676729</v>
      </c>
      <c r="T58">
        <v>-0.10270987753676759</v>
      </c>
      <c r="U58">
        <v>6.1064040932024E-3</v>
      </c>
      <c r="V58">
        <v>-0.1248173066841218</v>
      </c>
    </row>
    <row r="59" spans="1:22" x14ac:dyDescent="0.2">
      <c r="A59" s="15">
        <v>36930.5</v>
      </c>
      <c r="B59" t="b">
        <v>1</v>
      </c>
      <c r="C59">
        <v>2.0000000000010228E-2</v>
      </c>
      <c r="D59">
        <v>9.9999999999909051E-3</v>
      </c>
      <c r="E59">
        <v>2.0000000000010228E-2</v>
      </c>
      <c r="F59">
        <v>1.000000000001933E-2</v>
      </c>
      <c r="G59">
        <v>1.4500000000000851E-2</v>
      </c>
      <c r="H59">
        <v>7.0000000000005613E-3</v>
      </c>
      <c r="I59">
        <v>1.199999999999868E-2</v>
      </c>
      <c r="J59">
        <v>1.349999999999962E-2</v>
      </c>
      <c r="Q59">
        <v>-4.812512625483123E-2</v>
      </c>
      <c r="R59">
        <v>-0.13367409106670181</v>
      </c>
      <c r="S59">
        <v>0.10685050564205061</v>
      </c>
      <c r="T59">
        <v>-1.896791267131448E-2</v>
      </c>
      <c r="U59">
        <v>8.6957168023104714E-2</v>
      </c>
      <c r="V59">
        <v>-4.6556804154420213E-2</v>
      </c>
    </row>
    <row r="60" spans="1:22" x14ac:dyDescent="0.2">
      <c r="A60" s="15">
        <v>36936.4375</v>
      </c>
      <c r="B60" t="b">
        <v>0</v>
      </c>
      <c r="C60">
        <v>2.0000000000010228E-2</v>
      </c>
      <c r="D60">
        <v>1.999999999998181E-2</v>
      </c>
      <c r="E60">
        <v>2.0000000000010228E-2</v>
      </c>
      <c r="F60">
        <v>1.999999999998181E-2</v>
      </c>
      <c r="G60">
        <v>1.6000000000000011E-2</v>
      </c>
      <c r="H60">
        <v>1.4499999999999961E-2</v>
      </c>
      <c r="I60">
        <v>8.0000000000008953E-3</v>
      </c>
      <c r="J60">
        <v>1.200000000000045E-2</v>
      </c>
      <c r="Q60">
        <v>6.8930565324421877E-2</v>
      </c>
      <c r="R60">
        <v>-0.21378526690232749</v>
      </c>
      <c r="S60">
        <v>9.950420282645922E-2</v>
      </c>
      <c r="T60">
        <v>0.15648299342205971</v>
      </c>
      <c r="U60">
        <v>0.1304148264928244</v>
      </c>
      <c r="V60">
        <v>0.16534824153654881</v>
      </c>
    </row>
    <row r="61" spans="1:22" x14ac:dyDescent="0.2">
      <c r="A61" s="15">
        <v>36986.458333333343</v>
      </c>
      <c r="B61" t="b">
        <v>1</v>
      </c>
      <c r="C61">
        <v>0</v>
      </c>
      <c r="D61">
        <v>0</v>
      </c>
      <c r="E61">
        <v>0</v>
      </c>
      <c r="F61">
        <v>0</v>
      </c>
      <c r="G61">
        <v>6.9999999999996732E-3</v>
      </c>
      <c r="H61">
        <v>0</v>
      </c>
      <c r="I61">
        <v>0</v>
      </c>
      <c r="J61">
        <v>1.2500000000000179E-2</v>
      </c>
      <c r="Q61">
        <v>-0.11530957460013271</v>
      </c>
      <c r="R61">
        <v>0.1036476074451471</v>
      </c>
      <c r="S61">
        <v>0.11133921333883021</v>
      </c>
      <c r="T61">
        <v>-8.3557240639606789E-2</v>
      </c>
      <c r="U61">
        <v>2.3237285989694101E-2</v>
      </c>
      <c r="V61">
        <v>-0.1035122879404753</v>
      </c>
    </row>
    <row r="62" spans="1:22" x14ac:dyDescent="0.2">
      <c r="A62" s="15">
        <v>37021.458333333343</v>
      </c>
      <c r="B62" t="b">
        <v>1</v>
      </c>
      <c r="C62">
        <v>5.0000000000011369E-2</v>
      </c>
      <c r="D62">
        <v>4.9999999999982947E-2</v>
      </c>
      <c r="E62">
        <v>2.9999999999986929E-2</v>
      </c>
      <c r="F62">
        <v>2.9999999999986929E-2</v>
      </c>
      <c r="G62">
        <v>4.9999999999998934E-3</v>
      </c>
      <c r="H62">
        <v>3.8000000000000263E-2</v>
      </c>
      <c r="I62">
        <v>1.9500000000000739E-2</v>
      </c>
      <c r="J62">
        <v>4.9999999999998934E-3</v>
      </c>
      <c r="Q62">
        <v>0.2517730338418005</v>
      </c>
      <c r="R62">
        <v>-8.0266484772337776E-3</v>
      </c>
      <c r="S62">
        <v>4.5645266851749973E-2</v>
      </c>
      <c r="T62">
        <v>0.20094749103589041</v>
      </c>
      <c r="U62">
        <v>1.385798645685554E-2</v>
      </c>
      <c r="V62">
        <v>0.24771466515437621</v>
      </c>
    </row>
    <row r="63" spans="1:22" x14ac:dyDescent="0.2">
      <c r="A63" s="15">
        <v>37027.395833333343</v>
      </c>
      <c r="B63" t="b">
        <v>0</v>
      </c>
      <c r="C63">
        <v>0</v>
      </c>
      <c r="D63">
        <v>-1.0000000000005119E-2</v>
      </c>
      <c r="E63">
        <v>0</v>
      </c>
      <c r="F63">
        <v>-4.9999999999954534E-3</v>
      </c>
      <c r="G63">
        <v>-9.5000000000000639E-3</v>
      </c>
      <c r="H63">
        <v>4.5000000000001714E-3</v>
      </c>
      <c r="I63">
        <v>4.9999999999998934E-3</v>
      </c>
      <c r="J63">
        <v>-8.0000000000008953E-3</v>
      </c>
      <c r="Q63">
        <v>-3.8723835004020657E-2</v>
      </c>
      <c r="R63">
        <v>-0.1050887288015545</v>
      </c>
      <c r="S63">
        <v>1.401148944425046E-2</v>
      </c>
      <c r="T63">
        <v>-0.1070255215303177</v>
      </c>
      <c r="U63">
        <v>-7.1281362942499982E-2</v>
      </c>
      <c r="V63">
        <v>-0.1104572004403508</v>
      </c>
    </row>
    <row r="64" spans="1:22" x14ac:dyDescent="0.2">
      <c r="A64" s="15">
        <v>37048.458333333343</v>
      </c>
      <c r="B64" t="b">
        <v>1</v>
      </c>
      <c r="C64">
        <v>9.9999999999909051E-3</v>
      </c>
      <c r="D64">
        <v>-1.000000000001933E-2</v>
      </c>
      <c r="E64">
        <v>-1.4999999999986359E-2</v>
      </c>
      <c r="F64">
        <v>-9.9999999999909051E-3</v>
      </c>
      <c r="G64">
        <v>1.5000000000000571E-3</v>
      </c>
      <c r="H64">
        <v>0</v>
      </c>
      <c r="I64">
        <v>-5.0000000000007816E-3</v>
      </c>
      <c r="J64">
        <v>-9.9999999999944578E-4</v>
      </c>
      <c r="Q64">
        <v>0</v>
      </c>
      <c r="R64">
        <v>0.2051619446805262</v>
      </c>
      <c r="S64">
        <v>-1.070033707083695E-2</v>
      </c>
      <c r="T64">
        <v>7.3623385000246344E-2</v>
      </c>
      <c r="U64">
        <v>-4.3488367547183771E-2</v>
      </c>
      <c r="V64">
        <v>8.236332776391464E-2</v>
      </c>
    </row>
    <row r="65" spans="1:22" x14ac:dyDescent="0.2">
      <c r="A65" s="15">
        <v>37077.458333333343</v>
      </c>
      <c r="B65" t="b">
        <v>1</v>
      </c>
      <c r="C65">
        <v>0</v>
      </c>
      <c r="D65">
        <v>-1.000000000001933E-2</v>
      </c>
      <c r="E65">
        <v>-1.000000000001933E-2</v>
      </c>
      <c r="F65">
        <v>-9.9999999999909051E-3</v>
      </c>
      <c r="G65">
        <v>-2.4999999999995031E-3</v>
      </c>
      <c r="H65">
        <v>0</v>
      </c>
      <c r="I65">
        <v>-5.0000000000007816E-3</v>
      </c>
      <c r="J65">
        <v>-1.9999999999997802E-3</v>
      </c>
      <c r="Q65">
        <v>8.5349150566571552E-2</v>
      </c>
      <c r="R65">
        <v>5.8423404407712098E-2</v>
      </c>
      <c r="S65">
        <v>-5.3377934829640587E-2</v>
      </c>
      <c r="T65">
        <v>8.3602371115034657E-2</v>
      </c>
      <c r="U65">
        <v>-0.18697921274667809</v>
      </c>
      <c r="V65">
        <v>0.13176302614783711</v>
      </c>
    </row>
    <row r="66" spans="1:22" x14ac:dyDescent="0.2">
      <c r="A66" s="15">
        <v>37105.458333333343</v>
      </c>
      <c r="B66" t="b">
        <v>1</v>
      </c>
      <c r="C66">
        <v>-0.17000000000000171</v>
      </c>
      <c r="D66">
        <v>-0.25</v>
      </c>
      <c r="E66">
        <v>-0.2399999999999807</v>
      </c>
      <c r="F66">
        <v>-0.21999999999999889</v>
      </c>
      <c r="G66">
        <v>-2.0000000000000458E-2</v>
      </c>
      <c r="H66">
        <v>-0.1805000000000003</v>
      </c>
      <c r="I66">
        <v>-0.1080000000000005</v>
      </c>
      <c r="J66">
        <v>-6.0999999999999943E-2</v>
      </c>
      <c r="Q66">
        <v>0.50377940299586044</v>
      </c>
      <c r="R66">
        <v>0.1055837661538561</v>
      </c>
      <c r="S66">
        <v>-7.3256243137926447E-2</v>
      </c>
      <c r="T66">
        <v>0.49681253009998733</v>
      </c>
      <c r="U66">
        <v>0.30258677952292601</v>
      </c>
      <c r="V66">
        <v>0.53976896019980813</v>
      </c>
    </row>
    <row r="67" spans="1:22" x14ac:dyDescent="0.2">
      <c r="A67" s="15">
        <v>37111.395833333343</v>
      </c>
      <c r="B67" t="b">
        <v>0</v>
      </c>
      <c r="C67">
        <v>9.9999999999909051E-3</v>
      </c>
      <c r="D67">
        <v>9.9999999999909051E-3</v>
      </c>
      <c r="E67">
        <v>2.0000000000010228E-2</v>
      </c>
      <c r="F67">
        <v>2.0000000000010228E-2</v>
      </c>
      <c r="G67">
        <v>1.5000000000000571E-3</v>
      </c>
      <c r="H67">
        <v>1.199999999999957E-2</v>
      </c>
      <c r="I67">
        <v>4.9999999999998934E-3</v>
      </c>
      <c r="J67">
        <v>2.5000000000003908E-3</v>
      </c>
      <c r="Q67">
        <v>-0.53609603983534271</v>
      </c>
      <c r="R67">
        <v>-6.4756356480174304E-2</v>
      </c>
      <c r="S67">
        <v>3.1764519299315452E-2</v>
      </c>
      <c r="T67">
        <v>-0.46669660317866152</v>
      </c>
      <c r="U67">
        <v>-0.27071118946014389</v>
      </c>
      <c r="V67">
        <v>-0.51742285307943803</v>
      </c>
    </row>
    <row r="68" spans="1:22" x14ac:dyDescent="0.2">
      <c r="A68" s="15">
        <v>37140.458333333343</v>
      </c>
      <c r="B68" t="b">
        <v>1</v>
      </c>
      <c r="C68">
        <v>2.0000000000010228E-2</v>
      </c>
      <c r="D68">
        <v>0</v>
      </c>
      <c r="E68">
        <v>-9.9999999999909051E-3</v>
      </c>
      <c r="F68">
        <v>-9.9999999999909051E-3</v>
      </c>
      <c r="G68">
        <v>3.499999999999837E-3</v>
      </c>
      <c r="H68">
        <v>-8.8817841970012523E-16</v>
      </c>
      <c r="I68">
        <v>-5.9999999999993392E-3</v>
      </c>
      <c r="J68">
        <v>0</v>
      </c>
      <c r="Q68">
        <v>4.3054991456187963E-2</v>
      </c>
      <c r="R68">
        <v>-1.637867500181045E-2</v>
      </c>
      <c r="S68">
        <v>-0.1929039523443663</v>
      </c>
      <c r="T68">
        <v>7.1140624295139787E-2</v>
      </c>
      <c r="U68">
        <v>-3.8528222399122569E-2</v>
      </c>
      <c r="V68">
        <v>8.6176360456306611E-2</v>
      </c>
    </row>
    <row r="69" spans="1:22" x14ac:dyDescent="0.2">
      <c r="A69" s="15">
        <v>37152.458333333343</v>
      </c>
      <c r="B69" t="b">
        <v>1</v>
      </c>
      <c r="C69">
        <v>4.0000000000020457E-2</v>
      </c>
      <c r="D69">
        <v>2.0000000000010228E-2</v>
      </c>
      <c r="E69">
        <v>0</v>
      </c>
      <c r="F69">
        <v>0</v>
      </c>
      <c r="G69">
        <v>-1.4499999999999961E-2</v>
      </c>
      <c r="H69">
        <v>-1.399999999999935E-2</v>
      </c>
      <c r="I69">
        <v>3.0000000000001141E-3</v>
      </c>
      <c r="J69">
        <v>-6.4999999999999503E-3</v>
      </c>
      <c r="Q69">
        <v>9.4043894078595258E-2</v>
      </c>
      <c r="R69">
        <v>9.5260783579107056E-2</v>
      </c>
      <c r="S69">
        <v>1.703838752822406E-2</v>
      </c>
      <c r="T69">
        <v>2.1694327018622062E-2</v>
      </c>
      <c r="U69">
        <v>-0.30273811697145447</v>
      </c>
      <c r="V69">
        <v>6.6899423396989732E-2</v>
      </c>
    </row>
    <row r="70" spans="1:22" x14ac:dyDescent="0.2">
      <c r="A70" s="15">
        <v>37168.458333333343</v>
      </c>
      <c r="B70" t="b">
        <v>1</v>
      </c>
      <c r="C70">
        <v>-6.0000000000002267E-2</v>
      </c>
      <c r="D70">
        <v>-2.0000000000010228E-2</v>
      </c>
      <c r="E70">
        <v>0</v>
      </c>
      <c r="F70">
        <v>-1.0000000000005119E-2</v>
      </c>
      <c r="G70">
        <v>-1.6499999999999741E-2</v>
      </c>
      <c r="H70">
        <v>-3.0000000000000249E-2</v>
      </c>
      <c r="I70">
        <v>-2.1000000000000799E-2</v>
      </c>
      <c r="J70">
        <v>-1.7500000000000071E-2</v>
      </c>
      <c r="Q70">
        <v>-0.43470725761858381</v>
      </c>
      <c r="R70">
        <v>-0.16904813846667821</v>
      </c>
      <c r="S70">
        <v>3.7349541204612542E-2</v>
      </c>
      <c r="T70">
        <v>-0.33312982799077417</v>
      </c>
      <c r="U70">
        <v>0.17201562045545421</v>
      </c>
      <c r="V70">
        <v>-0.42042647647770082</v>
      </c>
    </row>
    <row r="71" spans="1:22" x14ac:dyDescent="0.2">
      <c r="A71" s="15">
        <v>37203.5</v>
      </c>
      <c r="B71" t="b">
        <v>1</v>
      </c>
      <c r="C71">
        <v>-0.15999999999999659</v>
      </c>
      <c r="D71">
        <v>-0.18000000000000679</v>
      </c>
      <c r="E71">
        <v>-0.1999999999999886</v>
      </c>
      <c r="F71">
        <v>-0.17000000000001589</v>
      </c>
      <c r="G71">
        <v>-2.2999999999999691E-2</v>
      </c>
      <c r="H71">
        <v>-0.14749999999999999</v>
      </c>
      <c r="I71">
        <v>-0.13950000000000001</v>
      </c>
      <c r="J71">
        <v>-7.1500000000000341E-2</v>
      </c>
      <c r="Q71">
        <v>0.31412143291481698</v>
      </c>
      <c r="R71">
        <v>-0.1060661789152917</v>
      </c>
      <c r="S71">
        <v>0.1400871502690961</v>
      </c>
      <c r="T71">
        <v>0.32279303537518439</v>
      </c>
      <c r="U71">
        <v>0.17668006773283201</v>
      </c>
      <c r="V71">
        <v>0.33798330801937482</v>
      </c>
    </row>
    <row r="72" spans="1:22" x14ac:dyDescent="0.2">
      <c r="A72" s="15">
        <v>37209.4375</v>
      </c>
      <c r="B72" t="b">
        <v>0</v>
      </c>
      <c r="C72">
        <v>3.9999999999992042E-2</v>
      </c>
      <c r="D72">
        <v>4.9999999999997158E-2</v>
      </c>
      <c r="E72">
        <v>7.000000000000739E-2</v>
      </c>
      <c r="F72">
        <v>8.5000000000007958E-2</v>
      </c>
      <c r="G72">
        <v>3.0999999999999691E-2</v>
      </c>
      <c r="H72">
        <v>3.5499999999999858E-2</v>
      </c>
      <c r="I72">
        <v>6.899999999999995E-2</v>
      </c>
      <c r="J72">
        <v>4.550000000000054E-2</v>
      </c>
      <c r="Q72">
        <v>-0.55572562288841709</v>
      </c>
      <c r="R72">
        <v>8.9975876177689429E-2</v>
      </c>
      <c r="S72">
        <v>-0.1738647075436148</v>
      </c>
      <c r="T72">
        <v>-0.41336875926538141</v>
      </c>
      <c r="U72">
        <v>6.6985566256903439E-2</v>
      </c>
      <c r="V72">
        <v>-0.51543124410829932</v>
      </c>
    </row>
    <row r="73" spans="1:22" x14ac:dyDescent="0.2">
      <c r="A73" s="15">
        <v>37230.5</v>
      </c>
      <c r="B73" t="b">
        <v>1</v>
      </c>
      <c r="C73">
        <v>9.9999999999909051E-3</v>
      </c>
      <c r="D73">
        <v>3.9999999999992042E-2</v>
      </c>
      <c r="E73">
        <v>5.0000000000011369E-2</v>
      </c>
      <c r="F73">
        <v>3.50000000000108E-2</v>
      </c>
      <c r="G73">
        <v>1.9499999999999851E-2</v>
      </c>
      <c r="H73">
        <v>0</v>
      </c>
      <c r="I73">
        <v>1.049999999999951E-2</v>
      </c>
      <c r="J73">
        <v>1.8000000000000679E-2</v>
      </c>
      <c r="Q73">
        <v>-0.1090900575377418</v>
      </c>
      <c r="R73">
        <v>0</v>
      </c>
      <c r="S73">
        <v>-3.5150002639809941E-3</v>
      </c>
      <c r="T73">
        <v>-9.4369305524992342E-2</v>
      </c>
      <c r="U73">
        <v>0.1216257455922687</v>
      </c>
      <c r="V73">
        <v>-0.1063930944854974</v>
      </c>
    </row>
    <row r="74" spans="1:22" x14ac:dyDescent="0.2">
      <c r="A74" s="15">
        <v>37266.5</v>
      </c>
      <c r="B74" t="b">
        <v>1</v>
      </c>
      <c r="C74">
        <v>0</v>
      </c>
      <c r="D74">
        <v>0</v>
      </c>
      <c r="E74">
        <v>-1.9999999999996021E-2</v>
      </c>
      <c r="F74">
        <v>-1.999999999998181E-2</v>
      </c>
      <c r="G74">
        <v>-3.5000000000007252E-3</v>
      </c>
      <c r="H74">
        <v>0</v>
      </c>
      <c r="I74">
        <v>-1.7000000000000352E-2</v>
      </c>
      <c r="J74">
        <v>-4.9999999999998934E-3</v>
      </c>
      <c r="Q74">
        <v>4.8071145304220408E-3</v>
      </c>
      <c r="R74">
        <v>-7.2847953361232953E-2</v>
      </c>
      <c r="S74">
        <v>1.0386912499598109E-2</v>
      </c>
      <c r="T74">
        <v>-7.9283279198989476E-3</v>
      </c>
      <c r="U74">
        <v>-2.316346800557767E-2</v>
      </c>
      <c r="V74">
        <v>0</v>
      </c>
    </row>
    <row r="75" spans="1:22" x14ac:dyDescent="0.2">
      <c r="A75" s="15">
        <v>37294.5</v>
      </c>
      <c r="B75" t="b">
        <v>1</v>
      </c>
      <c r="C75">
        <v>4.0000000000006253E-2</v>
      </c>
      <c r="D75">
        <v>3.000000000000114E-2</v>
      </c>
      <c r="E75">
        <v>2.0000000000010228E-2</v>
      </c>
      <c r="F75">
        <v>2.0000000000010228E-2</v>
      </c>
      <c r="G75">
        <v>6.0000000000002274E-3</v>
      </c>
      <c r="H75">
        <v>0</v>
      </c>
      <c r="I75">
        <v>1.149999999999984E-2</v>
      </c>
      <c r="J75">
        <v>6.4999999999990621E-3</v>
      </c>
      <c r="Q75">
        <v>-6.422766456807949E-2</v>
      </c>
      <c r="R75">
        <v>8.1390143698527595E-3</v>
      </c>
      <c r="S75">
        <v>-2.1263023682045908E-2</v>
      </c>
      <c r="T75">
        <v>-0.10192226252809181</v>
      </c>
      <c r="U75">
        <v>-2.7807226582012848E-2</v>
      </c>
      <c r="V75">
        <v>-0.1142924829324556</v>
      </c>
    </row>
    <row r="76" spans="1:22" x14ac:dyDescent="0.2">
      <c r="A76" s="15">
        <v>37300.4375</v>
      </c>
      <c r="B76" t="b">
        <v>0</v>
      </c>
      <c r="C76">
        <v>-2.0000000000010228E-2</v>
      </c>
      <c r="D76">
        <v>-3.9999999999992042E-2</v>
      </c>
      <c r="E76">
        <v>-3.9999999999992042E-2</v>
      </c>
      <c r="F76">
        <v>-4.9999999999997158E-2</v>
      </c>
      <c r="G76">
        <v>-1.7500000000000071E-2</v>
      </c>
      <c r="H76">
        <v>0</v>
      </c>
      <c r="I76">
        <v>-2.2999999999999691E-2</v>
      </c>
      <c r="J76">
        <v>-2.2500000000000849E-2</v>
      </c>
      <c r="Q76">
        <v>0.25868184374030528</v>
      </c>
      <c r="R76">
        <v>0.17196908795265389</v>
      </c>
      <c r="S76">
        <v>-0.1534009992969558</v>
      </c>
      <c r="T76">
        <v>0.20547538503876689</v>
      </c>
      <c r="U76">
        <v>-7.9138427555335511E-2</v>
      </c>
      <c r="V76">
        <v>0.237418863712378</v>
      </c>
    </row>
    <row r="77" spans="1:22" x14ac:dyDescent="0.2">
      <c r="A77" s="15">
        <v>37322.5</v>
      </c>
      <c r="B77" t="b">
        <v>1</v>
      </c>
      <c r="C77">
        <v>0</v>
      </c>
      <c r="D77">
        <v>0</v>
      </c>
      <c r="E77">
        <v>9.9999999999909051E-3</v>
      </c>
      <c r="F77">
        <v>1.0000000000005119E-2</v>
      </c>
      <c r="G77">
        <v>-4.9999999999972289E-4</v>
      </c>
      <c r="H77">
        <v>0</v>
      </c>
      <c r="I77">
        <v>0</v>
      </c>
      <c r="J77">
        <v>8.8817841970012523E-16</v>
      </c>
      <c r="Q77">
        <v>-0.13697661731237079</v>
      </c>
      <c r="R77">
        <v>0.35694042926663633</v>
      </c>
      <c r="S77">
        <v>-0.28130402881476613</v>
      </c>
      <c r="T77">
        <v>-9.7642908142574925E-2</v>
      </c>
      <c r="U77">
        <v>5.7846938617899468E-2</v>
      </c>
      <c r="V77">
        <v>-0.13215278783331999</v>
      </c>
    </row>
    <row r="78" spans="1:22" x14ac:dyDescent="0.2">
      <c r="A78" s="15">
        <v>37350.458333333343</v>
      </c>
      <c r="B78" t="b">
        <v>1</v>
      </c>
      <c r="C78">
        <v>-1.9999999999996021E-2</v>
      </c>
      <c r="D78">
        <v>-2.0000000000010228E-2</v>
      </c>
      <c r="E78">
        <v>-3.000000000000114E-2</v>
      </c>
      <c r="F78">
        <v>-2.0000000000010228E-2</v>
      </c>
      <c r="G78">
        <v>-1.5000000000000571E-3</v>
      </c>
      <c r="H78">
        <v>-9.0000000000003411E-3</v>
      </c>
      <c r="I78">
        <v>-7.499999999999396E-3</v>
      </c>
      <c r="J78">
        <v>-6.4999999999999503E-3</v>
      </c>
      <c r="Q78">
        <v>8.619039031941611E-2</v>
      </c>
      <c r="R78">
        <v>8.1476351533851243E-3</v>
      </c>
      <c r="S78">
        <v>1.7393421851728871E-2</v>
      </c>
      <c r="T78">
        <v>3.5594930075831137E-2</v>
      </c>
      <c r="U78">
        <v>6.8205072554178514E-2</v>
      </c>
      <c r="V78">
        <v>3.2670004422243437E-2</v>
      </c>
    </row>
    <row r="79" spans="1:22" x14ac:dyDescent="0.2">
      <c r="A79" s="15">
        <v>37385.458333333343</v>
      </c>
      <c r="B79" t="b">
        <v>1</v>
      </c>
      <c r="C79">
        <v>-1.9999999999996021E-2</v>
      </c>
      <c r="D79">
        <v>-9.9999999999909051E-3</v>
      </c>
      <c r="E79">
        <v>-1.0000000000005119E-2</v>
      </c>
      <c r="F79">
        <v>-9.9999999999909051E-3</v>
      </c>
      <c r="G79">
        <v>-4.0000000000004476E-3</v>
      </c>
      <c r="H79">
        <v>5.0000000000061107E-4</v>
      </c>
      <c r="I79">
        <v>-5.0000000000061107E-4</v>
      </c>
      <c r="J79">
        <v>-3.9999999999995586E-3</v>
      </c>
      <c r="Q79">
        <v>0.11039912802004891</v>
      </c>
      <c r="R79">
        <v>8.0414941139324014E-3</v>
      </c>
      <c r="S79">
        <v>3.0867902771120729E-2</v>
      </c>
      <c r="T79">
        <v>0.1107069542138106</v>
      </c>
      <c r="U79">
        <v>-7.1175531564108496E-2</v>
      </c>
      <c r="V79">
        <v>0.15003465151914949</v>
      </c>
    </row>
    <row r="80" spans="1:22" x14ac:dyDescent="0.2">
      <c r="A80" s="15">
        <v>37391.395833333343</v>
      </c>
      <c r="B80" t="b">
        <v>0</v>
      </c>
      <c r="C80">
        <v>6.0000000000002267E-2</v>
      </c>
      <c r="D80">
        <v>8.99999999999892E-2</v>
      </c>
      <c r="E80">
        <v>9.9999999999994316E-2</v>
      </c>
      <c r="F80">
        <v>9.0000000000003411E-2</v>
      </c>
      <c r="G80">
        <v>1.6499999999999741E-2</v>
      </c>
      <c r="H80">
        <v>6.5999999999999837E-2</v>
      </c>
      <c r="I80">
        <v>5.3999999999999382E-2</v>
      </c>
      <c r="J80">
        <v>3.1000000000000579E-2</v>
      </c>
      <c r="Q80">
        <v>2.3738872514968531E-2</v>
      </c>
      <c r="R80">
        <v>-5.6154989241896658E-2</v>
      </c>
      <c r="S80">
        <v>3.106715708724295E-2</v>
      </c>
      <c r="T80">
        <v>3.9187256310242446E-3</v>
      </c>
      <c r="U80">
        <v>-5.9996272301987119E-2</v>
      </c>
      <c r="V80">
        <v>1.5224755481767721E-2</v>
      </c>
    </row>
    <row r="81" spans="1:22" x14ac:dyDescent="0.2">
      <c r="A81" s="15">
        <v>37413.458333333343</v>
      </c>
      <c r="B81" t="b">
        <v>1</v>
      </c>
      <c r="C81">
        <v>-6.0000000000002267E-2</v>
      </c>
      <c r="D81">
        <v>-6.0000000000002267E-2</v>
      </c>
      <c r="E81">
        <v>-3.9999999999992042E-2</v>
      </c>
      <c r="F81">
        <v>-2.0000000000010228E-2</v>
      </c>
      <c r="G81">
        <v>-9.5000000000009521E-3</v>
      </c>
      <c r="H81">
        <v>-3.9999999999999147E-2</v>
      </c>
      <c r="I81">
        <v>-2.1500000000000519E-2</v>
      </c>
      <c r="J81">
        <v>-1.499999999999968E-2</v>
      </c>
      <c r="Q81">
        <v>0.1296305710768593</v>
      </c>
      <c r="R81">
        <v>1.5514700209543261E-2</v>
      </c>
      <c r="S81">
        <v>6.5210305538734303E-2</v>
      </c>
      <c r="T81">
        <v>0.15149967070078671</v>
      </c>
      <c r="U81">
        <v>5.8278456104858378E-2</v>
      </c>
      <c r="V81">
        <v>0.16964548171426941</v>
      </c>
    </row>
    <row r="82" spans="1:22" x14ac:dyDescent="0.2">
      <c r="A82" s="15">
        <v>37441.458333333343</v>
      </c>
      <c r="B82" t="b">
        <v>1</v>
      </c>
      <c r="C82">
        <v>-1.999999999998181E-2</v>
      </c>
      <c r="D82">
        <v>-1.000000000001933E-2</v>
      </c>
      <c r="E82">
        <v>0</v>
      </c>
      <c r="F82">
        <v>0</v>
      </c>
      <c r="G82">
        <v>-2.0000000000006679E-3</v>
      </c>
      <c r="H82">
        <v>-5.4999999999996163E-3</v>
      </c>
      <c r="I82">
        <v>8.5000000000006182E-3</v>
      </c>
      <c r="J82">
        <v>0</v>
      </c>
      <c r="Q82">
        <v>-0.14591988221673091</v>
      </c>
      <c r="R82">
        <v>4.686035699620561E-2</v>
      </c>
      <c r="S82">
        <v>6.5569470877804292E-3</v>
      </c>
      <c r="T82">
        <v>-5.528170776983643E-2</v>
      </c>
      <c r="U82">
        <v>5.072184811410807E-2</v>
      </c>
      <c r="V82">
        <v>-6.055916478862855E-2</v>
      </c>
    </row>
    <row r="83" spans="1:22" x14ac:dyDescent="0.2">
      <c r="A83" s="15">
        <v>37469.458333333343</v>
      </c>
      <c r="B83" t="b">
        <v>1</v>
      </c>
      <c r="C83">
        <v>2.9999999999986929E-2</v>
      </c>
      <c r="D83">
        <v>1.9999999999996021E-2</v>
      </c>
      <c r="E83">
        <v>3.000000000000114E-2</v>
      </c>
      <c r="F83">
        <v>2.499999999999147E-2</v>
      </c>
      <c r="G83">
        <v>9.0000000000003411E-3</v>
      </c>
      <c r="H83">
        <v>1.749999999999963E-2</v>
      </c>
      <c r="I83">
        <v>1.699999999999946E-2</v>
      </c>
      <c r="J83">
        <v>8.0000000000000071E-3</v>
      </c>
      <c r="Q83">
        <v>0.28075643423301239</v>
      </c>
      <c r="R83">
        <v>-3.1885213502519598E-2</v>
      </c>
      <c r="S83">
        <v>0.15139072966024261</v>
      </c>
      <c r="T83">
        <v>0.15766656793948641</v>
      </c>
      <c r="U83">
        <v>4.1868157784733739E-2</v>
      </c>
      <c r="V83">
        <v>0.15967781845790799</v>
      </c>
    </row>
    <row r="84" spans="1:22" x14ac:dyDescent="0.2">
      <c r="A84" s="15">
        <v>37475.395833333343</v>
      </c>
      <c r="B84" t="b">
        <v>0</v>
      </c>
      <c r="C84">
        <v>-2.0000000000010228E-2</v>
      </c>
      <c r="D84">
        <v>-5.0000000000011369E-2</v>
      </c>
      <c r="E84">
        <v>-4.9999999999997158E-2</v>
      </c>
      <c r="F84">
        <v>-5.0000000000011369E-2</v>
      </c>
      <c r="G84">
        <v>-2.4000000000000021E-2</v>
      </c>
      <c r="H84">
        <v>-2.3499999999999851E-2</v>
      </c>
      <c r="I84">
        <v>-3.3499999999999641E-2</v>
      </c>
      <c r="J84">
        <v>-2.5000000000000359E-2</v>
      </c>
      <c r="Q84">
        <v>-0.87299736009765638</v>
      </c>
      <c r="R84">
        <v>0.1111817141213578</v>
      </c>
      <c r="S84">
        <v>-1.9510926180501539E-2</v>
      </c>
      <c r="T84">
        <v>-0.77216589036356709</v>
      </c>
      <c r="U84">
        <v>-2.3817514646680141E-2</v>
      </c>
      <c r="V84">
        <v>-0.95587984466942544</v>
      </c>
    </row>
    <row r="85" spans="1:22" x14ac:dyDescent="0.2">
      <c r="A85" s="15">
        <v>37504.458333333343</v>
      </c>
      <c r="B85" t="b">
        <v>1</v>
      </c>
      <c r="C85">
        <v>1.9999999999996021E-2</v>
      </c>
      <c r="D85">
        <v>9.9999999999909051E-3</v>
      </c>
      <c r="E85">
        <v>9.9999999999909051E-3</v>
      </c>
      <c r="F85">
        <v>1.0000000000005119E-2</v>
      </c>
      <c r="G85">
        <v>4.9999999999998934E-3</v>
      </c>
      <c r="H85">
        <v>8.0000000000000071E-3</v>
      </c>
      <c r="I85">
        <v>0</v>
      </c>
      <c r="J85">
        <v>3.9999999999995586E-3</v>
      </c>
      <c r="Q85">
        <v>0.25451782637503578</v>
      </c>
      <c r="R85">
        <v>-7.8712267347569309E-3</v>
      </c>
      <c r="S85">
        <v>0.12739666669841651</v>
      </c>
      <c r="T85">
        <v>0.18805835349633071</v>
      </c>
      <c r="U85">
        <v>-0.23839943176972159</v>
      </c>
      <c r="V85">
        <v>0.28237467725432452</v>
      </c>
    </row>
    <row r="86" spans="1:22" x14ac:dyDescent="0.2">
      <c r="A86" s="15">
        <v>37539.458333333343</v>
      </c>
      <c r="B86" t="b">
        <v>1</v>
      </c>
      <c r="C86">
        <v>1.9999999999996021E-2</v>
      </c>
      <c r="D86">
        <v>9.9999999999909051E-3</v>
      </c>
      <c r="E86">
        <v>1.000000000001933E-2</v>
      </c>
      <c r="F86">
        <v>1.000000000001933E-2</v>
      </c>
      <c r="G86">
        <v>8.49999999999973E-3</v>
      </c>
      <c r="H86">
        <v>1.749999999999963E-2</v>
      </c>
      <c r="I86">
        <v>6.0000000000002274E-3</v>
      </c>
      <c r="J86">
        <v>1.05000000000004E-2</v>
      </c>
      <c r="Q86">
        <v>-0.25416373791983909</v>
      </c>
      <c r="R86">
        <v>-8.6994350854020297E-2</v>
      </c>
      <c r="S86">
        <v>-0.10553415648730891</v>
      </c>
      <c r="T86">
        <v>-0.23986846633408729</v>
      </c>
      <c r="U86">
        <v>3.6721055041311963E-2</v>
      </c>
      <c r="V86">
        <v>-0.29485894948970781</v>
      </c>
    </row>
    <row r="87" spans="1:22" x14ac:dyDescent="0.2">
      <c r="A87" s="15">
        <v>37567.5</v>
      </c>
      <c r="B87" t="b">
        <v>1</v>
      </c>
      <c r="C87">
        <v>0.1400000000000006</v>
      </c>
      <c r="D87">
        <v>0.14000000000001481</v>
      </c>
      <c r="E87">
        <v>0.1400000000000006</v>
      </c>
      <c r="F87">
        <v>0.12999999999999551</v>
      </c>
      <c r="G87">
        <v>3.0499999999999972E-2</v>
      </c>
      <c r="H87">
        <v>0.1074999999999999</v>
      </c>
      <c r="I87">
        <v>0.10400000000000011</v>
      </c>
      <c r="J87">
        <v>5.4999999999999723E-2</v>
      </c>
      <c r="Q87">
        <v>-0.16912301687580111</v>
      </c>
      <c r="R87">
        <v>-0.1172928937694309</v>
      </c>
      <c r="S87">
        <v>4.1489141610355773E-2</v>
      </c>
      <c r="T87">
        <v>-0.14610678468852711</v>
      </c>
      <c r="U87">
        <v>-7.0579415797510592E-2</v>
      </c>
      <c r="V87">
        <v>-0.1742287192096228</v>
      </c>
    </row>
    <row r="88" spans="1:22" x14ac:dyDescent="0.2">
      <c r="A88" s="15">
        <v>37573.4375</v>
      </c>
      <c r="B88" t="b">
        <v>0</v>
      </c>
      <c r="C88">
        <v>9.9999999999909051E-3</v>
      </c>
      <c r="D88">
        <v>1.999999999998181E-2</v>
      </c>
      <c r="E88">
        <v>3.000000000000114E-2</v>
      </c>
      <c r="F88">
        <v>2.0000000000010228E-2</v>
      </c>
      <c r="G88">
        <v>-5.0000000000061107E-4</v>
      </c>
      <c r="H88">
        <v>1.899999999999968E-2</v>
      </c>
      <c r="I88">
        <v>1.2999999999999901E-2</v>
      </c>
      <c r="J88">
        <v>3.9999999999995586E-3</v>
      </c>
      <c r="Q88">
        <v>-1.2367054183641811E-2</v>
      </c>
      <c r="R88">
        <v>-0.1576417131064787</v>
      </c>
      <c r="S88">
        <v>9.1302643099794523E-2</v>
      </c>
      <c r="T88">
        <v>-8.2576387846756916E-2</v>
      </c>
      <c r="U88">
        <v>-0.1987802777878187</v>
      </c>
      <c r="V88">
        <v>-5.4562140189318598E-2</v>
      </c>
    </row>
    <row r="89" spans="1:22" x14ac:dyDescent="0.2">
      <c r="A89" s="15">
        <v>37595.5</v>
      </c>
      <c r="B89" t="b">
        <v>1</v>
      </c>
      <c r="C89">
        <v>9.9999999999909051E-3</v>
      </c>
      <c r="D89">
        <v>0</v>
      </c>
      <c r="E89">
        <v>0</v>
      </c>
      <c r="F89">
        <v>0</v>
      </c>
      <c r="G89">
        <v>-1.5000000000000571E-3</v>
      </c>
      <c r="H89">
        <v>0</v>
      </c>
      <c r="I89">
        <v>0</v>
      </c>
      <c r="J89">
        <v>-5.0000000000061107E-4</v>
      </c>
      <c r="Q89">
        <v>-0.29837135851448687</v>
      </c>
      <c r="R89">
        <v>-7.8449835356273923E-2</v>
      </c>
      <c r="S89">
        <v>4.7785158839225517E-2</v>
      </c>
      <c r="T89">
        <v>-0.1928445154860583</v>
      </c>
      <c r="U89">
        <v>-4.4722719886749467E-2</v>
      </c>
      <c r="V89">
        <v>-0.2511675729374474</v>
      </c>
    </row>
    <row r="90" spans="1:22" x14ac:dyDescent="0.2">
      <c r="A90" s="15">
        <v>37630.5</v>
      </c>
      <c r="B90" t="b">
        <v>1</v>
      </c>
      <c r="C90">
        <v>2.0000000000010228E-2</v>
      </c>
      <c r="D90">
        <v>0</v>
      </c>
      <c r="E90">
        <v>9.9999999999909051E-3</v>
      </c>
      <c r="F90">
        <v>0</v>
      </c>
      <c r="G90">
        <v>-4.9999999999972289E-4</v>
      </c>
      <c r="H90">
        <v>5.5000000000005036E-3</v>
      </c>
      <c r="I90">
        <v>4.9999999999998934E-3</v>
      </c>
      <c r="J90">
        <v>1.000000000000334E-3</v>
      </c>
      <c r="Q90">
        <v>0.2390413645921399</v>
      </c>
      <c r="R90">
        <v>0</v>
      </c>
      <c r="S90">
        <v>-4.3485013886048307E-2</v>
      </c>
      <c r="T90">
        <v>0.2190347324404911</v>
      </c>
      <c r="U90">
        <v>0.12519418323120141</v>
      </c>
      <c r="V90">
        <v>0.24436368313320139</v>
      </c>
    </row>
    <row r="91" spans="1:22" x14ac:dyDescent="0.2">
      <c r="A91" s="15">
        <v>37658.5</v>
      </c>
      <c r="B91" t="b">
        <v>1</v>
      </c>
      <c r="C91">
        <v>-0.15999999999999659</v>
      </c>
      <c r="D91">
        <v>-0.24000000000000909</v>
      </c>
      <c r="E91">
        <v>-0.25999999999999091</v>
      </c>
      <c r="F91">
        <v>-0.25999999999999091</v>
      </c>
      <c r="G91">
        <v>-4.6499999999999993E-2</v>
      </c>
      <c r="H91">
        <v>-0.19300000000000009</v>
      </c>
      <c r="I91">
        <v>-0.218</v>
      </c>
      <c r="J91">
        <v>-0.1084999999999998</v>
      </c>
      <c r="Q91">
        <v>0.46984125676840449</v>
      </c>
      <c r="R91">
        <v>0.36524161741412797</v>
      </c>
      <c r="S91">
        <v>-0.24922510012758181</v>
      </c>
      <c r="T91">
        <v>0.38680366770756791</v>
      </c>
      <c r="U91">
        <v>0.12291960148377259</v>
      </c>
      <c r="V91">
        <v>0.43312658517186259</v>
      </c>
    </row>
    <row r="92" spans="1:22" x14ac:dyDescent="0.2">
      <c r="A92" s="15">
        <v>37664.4375</v>
      </c>
      <c r="B92" t="b">
        <v>0</v>
      </c>
      <c r="C92">
        <v>0</v>
      </c>
      <c r="D92">
        <v>4.9999999999954534E-3</v>
      </c>
      <c r="E92">
        <v>9.9999999999909051E-3</v>
      </c>
      <c r="F92">
        <v>-1.000000000001933E-2</v>
      </c>
      <c r="G92">
        <v>-3.9999999999995586E-3</v>
      </c>
      <c r="H92">
        <v>1.249999999999973E-2</v>
      </c>
      <c r="I92">
        <v>2.99999999999967E-3</v>
      </c>
      <c r="J92">
        <v>-4.0000000000000044E-3</v>
      </c>
      <c r="Q92">
        <v>0.26421931655602288</v>
      </c>
      <c r="R92">
        <v>4.5207957370323022E-2</v>
      </c>
      <c r="S92">
        <v>-0.2099349355515869</v>
      </c>
      <c r="T92">
        <v>0.200120138830016</v>
      </c>
      <c r="U92">
        <v>-2.953991602623773E-2</v>
      </c>
      <c r="V92">
        <v>0.25092732141581559</v>
      </c>
    </row>
    <row r="93" spans="1:22" x14ac:dyDescent="0.2">
      <c r="A93" s="15">
        <v>37686.5</v>
      </c>
      <c r="B93" t="b">
        <v>1</v>
      </c>
      <c r="C93">
        <v>3.000000000000114E-2</v>
      </c>
      <c r="D93">
        <v>9.9999999999909051E-3</v>
      </c>
      <c r="E93">
        <v>3.000000000000114E-2</v>
      </c>
      <c r="F93">
        <v>2.9999999999986929E-2</v>
      </c>
      <c r="G93">
        <v>-6.9999999999996732E-3</v>
      </c>
      <c r="H93">
        <v>0</v>
      </c>
      <c r="I93">
        <v>1.4499999999999961E-2</v>
      </c>
      <c r="J93">
        <v>1.9999999999997802E-3</v>
      </c>
      <c r="Q93">
        <v>3.5044682328134513E-2</v>
      </c>
      <c r="R93">
        <v>-0.1245010963118816</v>
      </c>
      <c r="S93">
        <v>9.9812859191189318E-2</v>
      </c>
      <c r="T93">
        <v>5.79022031945442E-3</v>
      </c>
      <c r="U93">
        <v>1.752124455390458E-2</v>
      </c>
      <c r="V93">
        <v>-8.3706524974331842E-3</v>
      </c>
    </row>
    <row r="94" spans="1:22" x14ac:dyDescent="0.2">
      <c r="A94" s="15">
        <v>37749.458333333343</v>
      </c>
      <c r="B94" t="b">
        <v>1</v>
      </c>
      <c r="C94">
        <v>6.0000000000002267E-2</v>
      </c>
      <c r="D94">
        <v>7.5000000000002842E-2</v>
      </c>
      <c r="E94">
        <v>6.9999999999993179E-2</v>
      </c>
      <c r="F94">
        <v>7.000000000000739E-2</v>
      </c>
      <c r="G94">
        <v>9.9999999999944578E-4</v>
      </c>
      <c r="H94">
        <v>6.5500000000000114E-2</v>
      </c>
      <c r="I94">
        <v>3.4999999999999698E-2</v>
      </c>
      <c r="J94">
        <v>9.5000000000000639E-3</v>
      </c>
      <c r="Q94">
        <v>-0.10108030426613369</v>
      </c>
      <c r="R94">
        <v>-0.30999038491246722</v>
      </c>
      <c r="S94">
        <v>0.3997257211687284</v>
      </c>
      <c r="T94">
        <v>-0.1202331622401971</v>
      </c>
      <c r="U94">
        <v>-9.2574231302251064E-2</v>
      </c>
      <c r="V94">
        <v>-0.13400252311760141</v>
      </c>
    </row>
    <row r="95" spans="1:22" x14ac:dyDescent="0.2">
      <c r="A95" s="15">
        <v>37756.395833333343</v>
      </c>
      <c r="B95" t="b">
        <v>0</v>
      </c>
      <c r="C95">
        <v>-3.000000000000114E-2</v>
      </c>
      <c r="D95">
        <v>-7.9999999999984084E-2</v>
      </c>
      <c r="E95">
        <v>-0.14000000000001481</v>
      </c>
      <c r="F95">
        <v>-0.1499999999999915</v>
      </c>
      <c r="G95">
        <v>-2.0999999999999911E-2</v>
      </c>
      <c r="H95">
        <v>-7.2000000000000064E-2</v>
      </c>
      <c r="I95">
        <v>-7.0500000000000007E-2</v>
      </c>
      <c r="J95">
        <v>-4.5999999999999819E-2</v>
      </c>
      <c r="Q95">
        <v>0.14387141630311359</v>
      </c>
      <c r="R95">
        <v>0.15525761763750981</v>
      </c>
      <c r="S95">
        <v>-0.17604822707641429</v>
      </c>
      <c r="T95">
        <v>0.14481512745453529</v>
      </c>
      <c r="U95">
        <v>0.1058098329102677</v>
      </c>
      <c r="V95">
        <v>0.15537292620456361</v>
      </c>
    </row>
    <row r="96" spans="1:22" x14ac:dyDescent="0.2">
      <c r="A96" s="15">
        <v>37777.458333333343</v>
      </c>
      <c r="B96" t="b">
        <v>1</v>
      </c>
      <c r="C96">
        <v>4.9999999999982947E-2</v>
      </c>
      <c r="D96">
        <v>1.9999999999996021E-2</v>
      </c>
      <c r="E96">
        <v>3.000000000000114E-2</v>
      </c>
      <c r="F96">
        <v>3.000000000000114E-2</v>
      </c>
      <c r="G96">
        <v>-1.000000000000334E-3</v>
      </c>
      <c r="H96">
        <v>3.0499999999999972E-2</v>
      </c>
      <c r="I96">
        <v>1.199999999999957E-2</v>
      </c>
      <c r="J96">
        <v>5.5000000000005036E-3</v>
      </c>
      <c r="Q96">
        <v>-0.17564584631463731</v>
      </c>
      <c r="R96">
        <v>-0.20360171318822751</v>
      </c>
      <c r="S96">
        <v>0.43546515820016651</v>
      </c>
      <c r="T96">
        <v>-0.16944933035324539</v>
      </c>
      <c r="U96">
        <v>5.701951036257924E-2</v>
      </c>
      <c r="V96">
        <v>-0.22304661706652951</v>
      </c>
    </row>
    <row r="97" spans="1:22" x14ac:dyDescent="0.2">
      <c r="A97" s="15">
        <v>37812.458333333343</v>
      </c>
      <c r="B97" t="b">
        <v>1</v>
      </c>
      <c r="C97">
        <v>-7.9999999999984084E-2</v>
      </c>
      <c r="D97">
        <v>-7.9999999999998295E-2</v>
      </c>
      <c r="E97">
        <v>-7.9999999999984084E-2</v>
      </c>
      <c r="F97">
        <v>-9.0000000000003411E-2</v>
      </c>
      <c r="G97">
        <v>-1.849999999999952E-2</v>
      </c>
      <c r="H97">
        <v>-4.4500000000000213E-2</v>
      </c>
      <c r="I97">
        <v>-4.6999999999999709E-2</v>
      </c>
      <c r="J97">
        <v>-3.2999999999999918E-2</v>
      </c>
      <c r="Q97">
        <v>-0.26108052375877833</v>
      </c>
      <c r="R97">
        <v>0.68308732265282401</v>
      </c>
      <c r="S97">
        <v>-0.60421291333469895</v>
      </c>
      <c r="T97">
        <v>-0.20175533929398171</v>
      </c>
      <c r="U97">
        <v>3.892792495207686E-3</v>
      </c>
      <c r="V97">
        <v>-0.24792991328490641</v>
      </c>
    </row>
    <row r="98" spans="1:22" x14ac:dyDescent="0.2">
      <c r="A98" s="15">
        <v>37840.458333333343</v>
      </c>
      <c r="B98" t="b">
        <v>1</v>
      </c>
      <c r="C98">
        <v>0</v>
      </c>
      <c r="D98">
        <v>0</v>
      </c>
      <c r="E98">
        <v>-1.000000000001933E-2</v>
      </c>
      <c r="F98">
        <v>-1.5000000000014779E-2</v>
      </c>
      <c r="G98">
        <v>-6.4999999999999503E-3</v>
      </c>
      <c r="H98">
        <v>0</v>
      </c>
      <c r="I98">
        <v>-8.49999999999973E-3</v>
      </c>
      <c r="J98">
        <v>-7.9999999999991189E-3</v>
      </c>
      <c r="Q98">
        <v>0.1728075477869879</v>
      </c>
      <c r="R98">
        <v>7.7834781923520779E-2</v>
      </c>
      <c r="S98">
        <v>-2.1769892325011139E-2</v>
      </c>
      <c r="T98">
        <v>0.1543171772501637</v>
      </c>
      <c r="U98">
        <v>-5.8520932341707521E-2</v>
      </c>
      <c r="V98">
        <v>0.18918692145393831</v>
      </c>
    </row>
    <row r="99" spans="1:22" x14ac:dyDescent="0.2">
      <c r="A99" s="15">
        <v>37846.395833333343</v>
      </c>
      <c r="B99" t="b">
        <v>0</v>
      </c>
      <c r="C99">
        <v>-1.0000000000005119E-2</v>
      </c>
      <c r="D99">
        <v>-3.9999999999992042E-2</v>
      </c>
      <c r="E99">
        <v>-3.9999999999992042E-2</v>
      </c>
      <c r="F99">
        <v>-3.9999999999992042E-2</v>
      </c>
      <c r="G99">
        <v>-1.4000000000001119E-2</v>
      </c>
      <c r="H99">
        <v>-2.4999999999999911E-2</v>
      </c>
      <c r="I99">
        <v>-1.2500000000000179E-2</v>
      </c>
      <c r="J99">
        <v>-1.8000000000000679E-2</v>
      </c>
      <c r="Q99">
        <v>-2.9787614530164319E-2</v>
      </c>
      <c r="R99">
        <v>7.1275840508604915E-2</v>
      </c>
      <c r="S99">
        <v>0.1308941502684817</v>
      </c>
      <c r="T99">
        <v>3.3863048481634912E-2</v>
      </c>
      <c r="U99">
        <v>0.10384409485482141</v>
      </c>
      <c r="V99">
        <v>1.9060780120184969E-2</v>
      </c>
    </row>
    <row r="100" spans="1:22" x14ac:dyDescent="0.2">
      <c r="A100" s="15">
        <v>37868.458333333343</v>
      </c>
      <c r="B100" t="b">
        <v>1</v>
      </c>
      <c r="C100">
        <v>-2.9999999999986929E-2</v>
      </c>
      <c r="D100">
        <v>-2.0000000000010228E-2</v>
      </c>
      <c r="E100">
        <v>-2.5000000000005681E-2</v>
      </c>
      <c r="F100">
        <v>-2.0000000000010228E-2</v>
      </c>
      <c r="G100">
        <v>3.0000000000001141E-3</v>
      </c>
      <c r="H100">
        <v>-1.349999999999962E-2</v>
      </c>
      <c r="I100">
        <v>-2.2500000000000849E-2</v>
      </c>
      <c r="J100">
        <v>-4.4999999999992824E-3</v>
      </c>
      <c r="Q100">
        <v>-9.3968410038996808E-2</v>
      </c>
      <c r="R100">
        <v>-4.3563494481169578E-2</v>
      </c>
      <c r="S100">
        <v>-9.5377383716559905E-2</v>
      </c>
      <c r="T100">
        <v>-8.047528186443742E-2</v>
      </c>
      <c r="U100">
        <v>-8.8852501991027566E-2</v>
      </c>
      <c r="V100">
        <v>-8.4604362171035064E-2</v>
      </c>
    </row>
    <row r="101" spans="1:22" x14ac:dyDescent="0.2">
      <c r="A101" s="15">
        <v>37903.458333333343</v>
      </c>
      <c r="B101" t="b">
        <v>1</v>
      </c>
      <c r="C101">
        <v>-2.0000000000010228E-2</v>
      </c>
      <c r="D101">
        <v>-1.999999999998181E-2</v>
      </c>
      <c r="E101">
        <v>-2.9999999999986929E-2</v>
      </c>
      <c r="F101">
        <v>-3.000000000000114E-2</v>
      </c>
      <c r="G101">
        <v>-1.05000000000004E-2</v>
      </c>
      <c r="H101">
        <v>-1.6000000000000011E-2</v>
      </c>
      <c r="I101">
        <v>-1.8500000000000408E-2</v>
      </c>
      <c r="J101">
        <v>-1.149999999999984E-2</v>
      </c>
      <c r="Q101">
        <v>0.12774360115963651</v>
      </c>
      <c r="R101">
        <v>3.523235776148681E-2</v>
      </c>
      <c r="S101">
        <v>-0.19525095943264861</v>
      </c>
      <c r="T101">
        <v>0.10816150035168449</v>
      </c>
      <c r="U101">
        <v>2.809580688563074E-2</v>
      </c>
      <c r="V101">
        <v>0.11868332729000031</v>
      </c>
    </row>
    <row r="102" spans="1:22" x14ac:dyDescent="0.2">
      <c r="A102" s="15">
        <v>37931.5</v>
      </c>
      <c r="B102" t="b">
        <v>1</v>
      </c>
      <c r="C102">
        <v>-9.9999999999909051E-3</v>
      </c>
      <c r="D102">
        <v>-3.000000000000114E-2</v>
      </c>
      <c r="E102">
        <v>-3.000000000000114E-2</v>
      </c>
      <c r="F102">
        <v>-3.9999999999992042E-2</v>
      </c>
      <c r="G102">
        <v>-2.4000000000000909E-2</v>
      </c>
      <c r="H102">
        <v>-1.8000000000000242E-2</v>
      </c>
      <c r="I102">
        <v>-3.6500000000000199E-2</v>
      </c>
      <c r="J102">
        <v>-3.1000000000000579E-2</v>
      </c>
      <c r="Q102">
        <v>5.2057727409874133E-2</v>
      </c>
      <c r="R102">
        <v>-0.197289165596267</v>
      </c>
      <c r="S102">
        <v>0.2180309392310136</v>
      </c>
      <c r="T102">
        <v>2.8054425769596492E-2</v>
      </c>
      <c r="U102">
        <v>5.7436755880303281E-2</v>
      </c>
      <c r="V102">
        <v>2.5477412095938231E-2</v>
      </c>
    </row>
    <row r="103" spans="1:22" x14ac:dyDescent="0.2">
      <c r="A103" s="15">
        <v>37937.4375</v>
      </c>
      <c r="B103" t="b">
        <v>0</v>
      </c>
      <c r="C103">
        <v>0</v>
      </c>
      <c r="D103">
        <v>0</v>
      </c>
      <c r="E103">
        <v>1.0000000000005119E-2</v>
      </c>
      <c r="F103">
        <v>9.9999999999909051E-3</v>
      </c>
      <c r="G103">
        <v>-8.0000000000000071E-3</v>
      </c>
      <c r="H103">
        <v>0</v>
      </c>
      <c r="I103">
        <v>4.9999999999998934E-3</v>
      </c>
      <c r="J103">
        <v>-2.5000000000003908E-3</v>
      </c>
      <c r="Q103">
        <v>2.2992470067379141E-2</v>
      </c>
      <c r="R103">
        <v>0.1153485817463888</v>
      </c>
      <c r="S103">
        <v>3.8880830745071648E-2</v>
      </c>
      <c r="T103">
        <v>6.5098114453689959E-2</v>
      </c>
      <c r="U103">
        <v>5.205622189373571E-2</v>
      </c>
      <c r="V103">
        <v>5.7553958423341101E-2</v>
      </c>
    </row>
    <row r="104" spans="1:22" x14ac:dyDescent="0.2">
      <c r="A104" s="15">
        <v>37959.5</v>
      </c>
      <c r="B104" t="b">
        <v>1</v>
      </c>
      <c r="C104">
        <v>-1.9999999999996021E-2</v>
      </c>
      <c r="D104">
        <v>0</v>
      </c>
      <c r="E104">
        <v>0</v>
      </c>
      <c r="F104">
        <v>1.000000000001933E-2</v>
      </c>
      <c r="G104">
        <v>-1.5000000000000571E-3</v>
      </c>
      <c r="H104">
        <v>2.0500000000000181E-2</v>
      </c>
      <c r="I104">
        <v>0</v>
      </c>
      <c r="J104">
        <v>-3.0000000000001141E-3</v>
      </c>
      <c r="Q104">
        <v>-1.140641041490653E-2</v>
      </c>
      <c r="R104">
        <v>7.8512548196364662E-2</v>
      </c>
      <c r="S104">
        <v>-5.5140391733019101E-2</v>
      </c>
      <c r="T104">
        <v>-9.2297759101938937E-2</v>
      </c>
      <c r="U104">
        <v>-1.030432095444667E-2</v>
      </c>
      <c r="V104">
        <v>-0.1028042811428804</v>
      </c>
    </row>
    <row r="105" spans="1:22" x14ac:dyDescent="0.2">
      <c r="A105" s="15">
        <v>37994.5</v>
      </c>
      <c r="B105" t="b">
        <v>1</v>
      </c>
      <c r="C105">
        <v>-4.0000000000006253E-2</v>
      </c>
      <c r="D105">
        <v>-4.0000000000006253E-2</v>
      </c>
      <c r="E105">
        <v>-4.0000000000006253E-2</v>
      </c>
      <c r="F105">
        <v>-3.000000000000114E-2</v>
      </c>
      <c r="G105">
        <v>-2.1499999999999631E-2</v>
      </c>
      <c r="H105">
        <v>-2.4999999999999471E-2</v>
      </c>
      <c r="I105">
        <v>-1.6000000000000011E-2</v>
      </c>
      <c r="J105">
        <v>-1.999999999999957E-2</v>
      </c>
      <c r="Q105">
        <v>-0.1669170809843763</v>
      </c>
      <c r="R105">
        <v>0.12240344257865129</v>
      </c>
      <c r="S105">
        <v>0.23690165891976989</v>
      </c>
      <c r="T105">
        <v>-0.1527678226653961</v>
      </c>
      <c r="U105">
        <v>6.6141494325961503E-2</v>
      </c>
      <c r="V105">
        <v>-0.1974991488219757</v>
      </c>
    </row>
    <row r="106" spans="1:22" x14ac:dyDescent="0.2">
      <c r="A106" s="15">
        <v>38022.5</v>
      </c>
      <c r="B106" t="b">
        <v>1</v>
      </c>
      <c r="C106">
        <v>3.000000000000114E-2</v>
      </c>
      <c r="D106">
        <v>3.9999999999992042E-2</v>
      </c>
      <c r="E106">
        <v>6.0000000000002267E-2</v>
      </c>
      <c r="F106">
        <v>7.000000000000739E-2</v>
      </c>
      <c r="G106">
        <v>2.249999999999908E-2</v>
      </c>
      <c r="H106">
        <v>3.7999999999999368E-2</v>
      </c>
      <c r="I106">
        <v>4.1000000000000369E-2</v>
      </c>
      <c r="J106">
        <v>2.9499999999999641E-2</v>
      </c>
      <c r="Q106">
        <v>0.1488606710250906</v>
      </c>
      <c r="R106">
        <v>-0.24062135639010759</v>
      </c>
      <c r="S106">
        <v>0.17436320995690829</v>
      </c>
      <c r="T106">
        <v>0.1599451957572455</v>
      </c>
      <c r="U106">
        <v>7.2792247531538123E-2</v>
      </c>
      <c r="V106">
        <v>0.16850354656446601</v>
      </c>
    </row>
    <row r="107" spans="1:22" x14ac:dyDescent="0.2">
      <c r="A107" s="15">
        <v>38028.4375</v>
      </c>
      <c r="B107" t="b">
        <v>0</v>
      </c>
      <c r="C107">
        <v>-9.9999999999909051E-3</v>
      </c>
      <c r="D107">
        <v>-9.9999999999909051E-3</v>
      </c>
      <c r="E107">
        <v>-9.9999999999909051E-3</v>
      </c>
      <c r="F107">
        <v>-4.9999999999954534E-3</v>
      </c>
      <c r="G107">
        <v>5.0000000000007816E-3</v>
      </c>
      <c r="H107">
        <v>-1.199999999999957E-2</v>
      </c>
      <c r="I107">
        <v>0</v>
      </c>
      <c r="J107">
        <v>3.0000000000001141E-3</v>
      </c>
      <c r="Q107">
        <v>0</v>
      </c>
      <c r="R107">
        <v>-0.1991224523116131</v>
      </c>
      <c r="S107">
        <v>0.13633631731530471</v>
      </c>
      <c r="T107">
        <v>1.3672097548919741E-2</v>
      </c>
      <c r="U107">
        <v>-5.5486651988189813E-2</v>
      </c>
      <c r="V107">
        <v>2.95787308330091E-2</v>
      </c>
    </row>
    <row r="108" spans="1:22" x14ac:dyDescent="0.2">
      <c r="A108" s="15">
        <v>38050.5</v>
      </c>
      <c r="B108" t="b">
        <v>1</v>
      </c>
      <c r="C108">
        <v>-3.000000000000114E-2</v>
      </c>
      <c r="D108">
        <v>-2.5000000000005681E-2</v>
      </c>
      <c r="E108">
        <v>-1.999999999998181E-2</v>
      </c>
      <c r="F108">
        <v>-1.999999999998181E-2</v>
      </c>
      <c r="G108">
        <v>3.5000000000007252E-3</v>
      </c>
      <c r="H108">
        <v>-2.7999999999999581E-2</v>
      </c>
      <c r="I108">
        <v>-1.999999999999957E-2</v>
      </c>
      <c r="J108">
        <v>4.9999999999990052E-3</v>
      </c>
      <c r="Q108">
        <v>-5.5326565063751332E-3</v>
      </c>
      <c r="R108">
        <v>-6.7519414396009836E-2</v>
      </c>
      <c r="S108">
        <v>2.73063637497728E-3</v>
      </c>
      <c r="T108">
        <v>-1.7663163518477631E-2</v>
      </c>
      <c r="U108">
        <v>1.7377978984882251E-2</v>
      </c>
      <c r="V108">
        <v>-2.6461443626203621E-2</v>
      </c>
    </row>
    <row r="109" spans="1:22" x14ac:dyDescent="0.2">
      <c r="A109" s="15">
        <v>38085.458333333343</v>
      </c>
      <c r="B109" t="b">
        <v>1</v>
      </c>
      <c r="C109">
        <v>-4.9999999999997158E-2</v>
      </c>
      <c r="D109">
        <v>-5.9999999999988063E-2</v>
      </c>
      <c r="E109">
        <v>-3.9999999999992042E-2</v>
      </c>
      <c r="F109">
        <v>-3.9999999999992042E-2</v>
      </c>
      <c r="G109">
        <v>8.9999999999994529E-3</v>
      </c>
      <c r="H109">
        <v>-1.6499999999999741E-2</v>
      </c>
      <c r="I109">
        <v>-2.1500000000000519E-2</v>
      </c>
      <c r="J109">
        <v>0</v>
      </c>
      <c r="Q109">
        <v>0.13893908367833771</v>
      </c>
      <c r="R109">
        <v>5.2972115204418913E-2</v>
      </c>
      <c r="S109">
        <v>-8.9809365260300922E-2</v>
      </c>
      <c r="T109">
        <v>9.7995553499231391E-2</v>
      </c>
      <c r="U109">
        <v>2.8430180407212902E-2</v>
      </c>
      <c r="V109">
        <v>0.12244672315239311</v>
      </c>
    </row>
    <row r="110" spans="1:22" x14ac:dyDescent="0.2">
      <c r="A110" s="15">
        <v>38113.458333333343</v>
      </c>
      <c r="B110" t="b">
        <v>1</v>
      </c>
      <c r="C110">
        <v>1.0000000000005119E-2</v>
      </c>
      <c r="D110">
        <v>3.9999999999992042E-2</v>
      </c>
      <c r="E110">
        <v>4.9999999999997158E-2</v>
      </c>
      <c r="F110">
        <v>5.0000000000011369E-2</v>
      </c>
      <c r="G110">
        <v>2.0999999999999911E-2</v>
      </c>
      <c r="H110">
        <v>1.849999999999952E-2</v>
      </c>
      <c r="I110">
        <v>2.5000000000000359E-2</v>
      </c>
      <c r="J110">
        <v>2.0500000000000181E-2</v>
      </c>
      <c r="Q110">
        <v>-8.2447032455092994E-2</v>
      </c>
      <c r="R110">
        <v>-0.20697819334709069</v>
      </c>
      <c r="S110">
        <v>0.13105248156699639</v>
      </c>
      <c r="T110">
        <v>-7.9653070854419639E-2</v>
      </c>
      <c r="U110">
        <v>-0.1015629495416306</v>
      </c>
      <c r="V110">
        <v>-8.7989446943993244E-2</v>
      </c>
    </row>
    <row r="111" spans="1:22" x14ac:dyDescent="0.2">
      <c r="A111" s="15">
        <v>38119.395833333343</v>
      </c>
      <c r="B111" t="b">
        <v>0</v>
      </c>
      <c r="C111">
        <v>1.999999999998181E-2</v>
      </c>
      <c r="D111">
        <v>3.000000000000114E-2</v>
      </c>
      <c r="E111">
        <v>3.000000000000114E-2</v>
      </c>
      <c r="F111">
        <v>3.000000000000114E-2</v>
      </c>
      <c r="G111">
        <v>-1.000000000000334E-3</v>
      </c>
      <c r="H111">
        <v>1.849999999999952E-2</v>
      </c>
      <c r="I111">
        <v>1.2500000000000179E-2</v>
      </c>
      <c r="J111">
        <v>1.5000000000000571E-3</v>
      </c>
      <c r="Q111">
        <v>-0.2362737372797028</v>
      </c>
      <c r="R111">
        <v>-0.41731933283038808</v>
      </c>
      <c r="S111">
        <v>0.1808676485713718</v>
      </c>
      <c r="T111">
        <v>-0.23126639941392571</v>
      </c>
      <c r="U111">
        <v>-5.8157408815873168E-2</v>
      </c>
      <c r="V111">
        <v>-0.24549285422972389</v>
      </c>
    </row>
    <row r="112" spans="1:22" x14ac:dyDescent="0.2">
      <c r="A112" s="15">
        <v>38148.458333333343</v>
      </c>
      <c r="B112" t="b">
        <v>1</v>
      </c>
      <c r="C112">
        <v>3.000000000000114E-2</v>
      </c>
      <c r="D112">
        <v>9.9999999999909051E-3</v>
      </c>
      <c r="E112">
        <v>9.9999999999909051E-3</v>
      </c>
      <c r="F112">
        <v>0</v>
      </c>
      <c r="G112">
        <v>-3.0000000000001141E-3</v>
      </c>
      <c r="H112">
        <v>2.199999999999935E-2</v>
      </c>
      <c r="I112">
        <v>8.8817841970012523E-16</v>
      </c>
      <c r="J112">
        <v>-2.5000000000003908E-3</v>
      </c>
      <c r="Q112">
        <v>0.2227048412253225</v>
      </c>
      <c r="R112">
        <v>0.32542504217669688</v>
      </c>
      <c r="S112">
        <v>-0.48509858745545392</v>
      </c>
      <c r="T112">
        <v>0.1613554202441492</v>
      </c>
      <c r="U112">
        <v>1.6229682468065221E-3</v>
      </c>
      <c r="V112">
        <v>0.19838401602498831</v>
      </c>
    </row>
    <row r="113" spans="1:22" x14ac:dyDescent="0.2">
      <c r="A113" s="15">
        <v>38176.458333333343</v>
      </c>
      <c r="B113" t="b">
        <v>1</v>
      </c>
      <c r="C113">
        <v>-3.000000000000114E-2</v>
      </c>
      <c r="D113">
        <v>-1.0000000000005119E-2</v>
      </c>
      <c r="E113">
        <v>-9.9999999999909051E-3</v>
      </c>
      <c r="F113">
        <v>-5.0000000000096634E-3</v>
      </c>
      <c r="G113">
        <v>4.9999999999972289E-4</v>
      </c>
      <c r="H113">
        <v>-6.9999999999996732E-3</v>
      </c>
      <c r="I113">
        <v>0</v>
      </c>
      <c r="J113">
        <v>0</v>
      </c>
      <c r="Q113">
        <v>-0.14908259641924809</v>
      </c>
      <c r="R113">
        <v>-0.1197873917286998</v>
      </c>
      <c r="S113">
        <v>0.1107674132895298</v>
      </c>
      <c r="T113">
        <v>-9.6576153198270731E-2</v>
      </c>
      <c r="U113">
        <v>-2.1378941823741119E-2</v>
      </c>
      <c r="V113">
        <v>-0.1146920644131342</v>
      </c>
    </row>
    <row r="114" spans="1:22" x14ac:dyDescent="0.2">
      <c r="A114" s="15">
        <v>38204.458333333343</v>
      </c>
      <c r="B114" t="b">
        <v>1</v>
      </c>
      <c r="C114">
        <v>-3.000000000000114E-2</v>
      </c>
      <c r="D114">
        <v>-3.000000000000114E-2</v>
      </c>
      <c r="E114">
        <v>-3.9999999999992042E-2</v>
      </c>
      <c r="F114">
        <v>-2.9999999999986929E-2</v>
      </c>
      <c r="G114">
        <v>-7.5000000000002842E-3</v>
      </c>
      <c r="H114">
        <v>-2.2499999999999961E-2</v>
      </c>
      <c r="I114">
        <v>-1.699999999999946E-2</v>
      </c>
      <c r="J114">
        <v>-1.1000000000001011E-2</v>
      </c>
      <c r="Q114">
        <v>2.2647491887028082E-2</v>
      </c>
      <c r="R114">
        <v>6.0491495228333747E-2</v>
      </c>
      <c r="S114">
        <v>-0.19201234778022069</v>
      </c>
      <c r="T114">
        <v>2.736552126975766E-3</v>
      </c>
      <c r="U114">
        <v>-5.6998207776018717E-2</v>
      </c>
      <c r="V114">
        <v>1.130748443586072E-2</v>
      </c>
    </row>
    <row r="115" spans="1:22" x14ac:dyDescent="0.2">
      <c r="A115" s="15">
        <v>38210.395833333343</v>
      </c>
      <c r="B115" t="b">
        <v>0</v>
      </c>
      <c r="C115">
        <v>-9.9999999999909051E-3</v>
      </c>
      <c r="D115">
        <v>-1.5000000000014779E-2</v>
      </c>
      <c r="E115">
        <v>-1.9999999999996021E-2</v>
      </c>
      <c r="F115">
        <v>-1.9999999999996021E-2</v>
      </c>
      <c r="G115">
        <v>-1.550000000000029E-2</v>
      </c>
      <c r="H115">
        <v>-2.7000000000000138E-2</v>
      </c>
      <c r="I115">
        <v>-2.9499999999999641E-2</v>
      </c>
      <c r="J115">
        <v>-1.7500000000000071E-2</v>
      </c>
      <c r="Q115">
        <v>9.2410772430525867E-2</v>
      </c>
      <c r="R115">
        <v>0.11211182459085479</v>
      </c>
      <c r="S115">
        <v>-4.6517355916748222E-2</v>
      </c>
      <c r="T115">
        <v>5.8707869472414131E-2</v>
      </c>
      <c r="U115">
        <v>-3.5757767053155483E-2</v>
      </c>
      <c r="V115">
        <v>6.4775831626775471E-2</v>
      </c>
    </row>
    <row r="116" spans="1:22" x14ac:dyDescent="0.2">
      <c r="A116" s="15">
        <v>38239.458333333343</v>
      </c>
      <c r="B116" t="b">
        <v>1</v>
      </c>
      <c r="C116">
        <v>0</v>
      </c>
      <c r="D116">
        <v>0</v>
      </c>
      <c r="E116">
        <v>-4.9999999999954534E-3</v>
      </c>
      <c r="F116">
        <v>0</v>
      </c>
      <c r="G116">
        <v>5.0000000000061107E-4</v>
      </c>
      <c r="H116">
        <v>0</v>
      </c>
      <c r="I116">
        <v>0</v>
      </c>
      <c r="J116">
        <v>0</v>
      </c>
      <c r="Q116">
        <v>-0.13223871010757191</v>
      </c>
      <c r="R116">
        <v>7.3171624076877606E-3</v>
      </c>
      <c r="S116">
        <v>-7.0083963453413389E-2</v>
      </c>
      <c r="T116">
        <v>-9.8546229260250584E-2</v>
      </c>
      <c r="U116">
        <v>-1.2882032802622231E-2</v>
      </c>
      <c r="V116">
        <v>-0.1235303357847215</v>
      </c>
    </row>
    <row r="117" spans="1:22" x14ac:dyDescent="0.2">
      <c r="A117" s="15">
        <v>38267.458333333343</v>
      </c>
      <c r="B117" t="b">
        <v>1</v>
      </c>
      <c r="C117">
        <v>-9.9999999999909051E-3</v>
      </c>
      <c r="D117">
        <v>0</v>
      </c>
      <c r="E117">
        <v>-9.9999999999909051E-3</v>
      </c>
      <c r="F117">
        <v>-5.0000000000096634E-3</v>
      </c>
      <c r="G117">
        <v>-4.5000000000001714E-3</v>
      </c>
      <c r="H117">
        <v>-8.0000000000008953E-3</v>
      </c>
      <c r="I117">
        <v>2.5000000000003908E-3</v>
      </c>
      <c r="J117">
        <v>-5.4999999999996163E-3</v>
      </c>
      <c r="Q117">
        <v>0.13222967573381081</v>
      </c>
      <c r="R117">
        <v>5.0686073276580153E-2</v>
      </c>
      <c r="S117">
        <v>-7.5835244551711867E-2</v>
      </c>
      <c r="T117">
        <v>0.1122921427785286</v>
      </c>
      <c r="U117">
        <v>4.0701952690255887E-2</v>
      </c>
      <c r="V117">
        <v>0.1148374326062367</v>
      </c>
    </row>
    <row r="118" spans="1:22" x14ac:dyDescent="0.2">
      <c r="A118" s="15">
        <v>38295.5</v>
      </c>
      <c r="B118" t="b">
        <v>1</v>
      </c>
      <c r="C118">
        <v>-1.000000000001933E-2</v>
      </c>
      <c r="D118">
        <v>-9.9999999999909051E-3</v>
      </c>
      <c r="E118">
        <v>0</v>
      </c>
      <c r="F118">
        <v>-9.9999999999909051E-3</v>
      </c>
      <c r="G118">
        <v>-4.9999999999972289E-4</v>
      </c>
      <c r="H118">
        <v>0</v>
      </c>
      <c r="I118">
        <v>-1.6500000000000629E-2</v>
      </c>
      <c r="J118">
        <v>-5.5000000000005036E-3</v>
      </c>
      <c r="Q118">
        <v>0</v>
      </c>
      <c r="R118">
        <v>7.9020154250102337E-2</v>
      </c>
      <c r="S118">
        <v>-4.5997538589865883E-2</v>
      </c>
      <c r="T118">
        <v>5.3024084438789032E-2</v>
      </c>
      <c r="U118">
        <v>6.6747904964245208E-2</v>
      </c>
      <c r="V118">
        <v>5.0983558907091719E-2</v>
      </c>
    </row>
    <row r="119" spans="1:22" x14ac:dyDescent="0.2">
      <c r="A119" s="15">
        <v>38301.4375</v>
      </c>
      <c r="B119" t="b">
        <v>0</v>
      </c>
      <c r="C119">
        <v>-3.9999999999992042E-2</v>
      </c>
      <c r="D119">
        <v>-9.0000000000003411E-2</v>
      </c>
      <c r="E119">
        <v>-0.12000000000000451</v>
      </c>
      <c r="F119">
        <v>-0.12000000000000451</v>
      </c>
      <c r="G119">
        <v>-4.9500000000000099E-2</v>
      </c>
      <c r="H119">
        <v>-8.4500000000000242E-2</v>
      </c>
      <c r="I119">
        <v>-8.3000000000000185E-2</v>
      </c>
      <c r="J119">
        <v>-6.8000000000000504E-2</v>
      </c>
      <c r="Q119">
        <v>0.26837177683034952</v>
      </c>
      <c r="R119">
        <v>0.1795397085390604</v>
      </c>
      <c r="S119">
        <v>1.075037627352771E-2</v>
      </c>
      <c r="T119">
        <v>0.20516574430928361</v>
      </c>
      <c r="U119">
        <v>7.55817128246008E-2</v>
      </c>
      <c r="V119">
        <v>0.20683403671796441</v>
      </c>
    </row>
    <row r="120" spans="1:22" x14ac:dyDescent="0.2">
      <c r="A120" s="15">
        <v>38330.5</v>
      </c>
      <c r="B120" t="b">
        <v>1</v>
      </c>
      <c r="C120">
        <v>0</v>
      </c>
      <c r="D120">
        <v>-1.000000000001933E-2</v>
      </c>
      <c r="E120">
        <v>-1.0000000000005119E-2</v>
      </c>
      <c r="F120">
        <v>-1.0000000000005119E-2</v>
      </c>
      <c r="G120">
        <v>-1.6000000000000011E-2</v>
      </c>
      <c r="H120">
        <v>-2.0500000000000181E-2</v>
      </c>
      <c r="I120">
        <v>-2.5999999999999801E-2</v>
      </c>
      <c r="J120">
        <v>-1.699999999999946E-2</v>
      </c>
      <c r="Q120">
        <v>0.17042130129891581</v>
      </c>
      <c r="R120">
        <v>-3.6073735104928062E-2</v>
      </c>
      <c r="S120">
        <v>0.109566181101556</v>
      </c>
      <c r="T120">
        <v>8.2760626025560668E-2</v>
      </c>
      <c r="U120">
        <v>1.2037315693191891E-2</v>
      </c>
      <c r="V120">
        <v>0.1449615466281102</v>
      </c>
    </row>
    <row r="121" spans="1:22" x14ac:dyDescent="0.2">
      <c r="A121" s="15">
        <v>38365.5</v>
      </c>
      <c r="B121" t="b">
        <v>1</v>
      </c>
      <c r="C121">
        <v>0</v>
      </c>
      <c r="D121">
        <v>4.9999999999954534E-3</v>
      </c>
      <c r="E121">
        <v>1.0000000000005119E-2</v>
      </c>
      <c r="F121">
        <v>0</v>
      </c>
      <c r="G121">
        <v>-1.9999999999997802E-3</v>
      </c>
      <c r="H121">
        <v>0</v>
      </c>
      <c r="I121">
        <v>6.0000000000002274E-3</v>
      </c>
      <c r="J121">
        <v>-4.4999999999992824E-3</v>
      </c>
      <c r="Q121">
        <v>0.1046408299322366</v>
      </c>
      <c r="R121">
        <v>0.12098353964754691</v>
      </c>
      <c r="S121">
        <v>-6.6306843969293539E-2</v>
      </c>
      <c r="T121">
        <v>9.7297304973153587E-2</v>
      </c>
      <c r="U121">
        <v>-7.1340415088343434E-3</v>
      </c>
      <c r="V121">
        <v>0.11484533685222691</v>
      </c>
    </row>
    <row r="122" spans="1:22" x14ac:dyDescent="0.2">
      <c r="A122" s="15">
        <v>38393.5</v>
      </c>
      <c r="B122" t="b">
        <v>1</v>
      </c>
      <c r="C122">
        <v>-1.000000000001933E-2</v>
      </c>
      <c r="D122">
        <v>-1.0000000000005119E-2</v>
      </c>
      <c r="E122">
        <v>-9.9999999999909051E-3</v>
      </c>
      <c r="F122">
        <v>0</v>
      </c>
      <c r="G122">
        <v>-3.9999999999995586E-3</v>
      </c>
      <c r="H122">
        <v>-1.2500000000000179E-2</v>
      </c>
      <c r="I122">
        <v>0</v>
      </c>
      <c r="J122">
        <v>-2.0000000000006679E-3</v>
      </c>
      <c r="Q122">
        <v>-9.0552375641209437E-2</v>
      </c>
      <c r="R122">
        <v>7.9997095281079567E-2</v>
      </c>
      <c r="S122">
        <v>-0.11829866411610369</v>
      </c>
      <c r="T122">
        <v>-7.5689977480578818E-2</v>
      </c>
      <c r="U122">
        <v>-4.7664118673537807E-2</v>
      </c>
      <c r="V122">
        <v>-9.4149704974483939E-2</v>
      </c>
    </row>
    <row r="123" spans="1:22" x14ac:dyDescent="0.2">
      <c r="A123" s="15">
        <v>38399.4375</v>
      </c>
      <c r="B123" t="b">
        <v>0</v>
      </c>
      <c r="C123">
        <v>-3.9999999999992042E-2</v>
      </c>
      <c r="D123">
        <v>-7.000000000000739E-2</v>
      </c>
      <c r="E123">
        <v>-7.9999999999998295E-2</v>
      </c>
      <c r="F123">
        <v>-7.9999999999998295E-2</v>
      </c>
      <c r="G123">
        <v>-3.5499999999999858E-2</v>
      </c>
      <c r="H123">
        <v>-6.2000000000000277E-2</v>
      </c>
      <c r="I123">
        <v>-5.5499999999999439E-2</v>
      </c>
      <c r="J123">
        <v>-4.6500000000000867E-2</v>
      </c>
      <c r="Q123">
        <v>0.1990149420483931</v>
      </c>
      <c r="R123">
        <v>0.50030920442147675</v>
      </c>
      <c r="S123">
        <v>-0.37336695520488661</v>
      </c>
      <c r="T123">
        <v>0.10274487772267089</v>
      </c>
      <c r="U123">
        <v>-0.25829390150295239</v>
      </c>
      <c r="V123">
        <v>0.17643856487779891</v>
      </c>
    </row>
    <row r="124" spans="1:22" x14ac:dyDescent="0.2">
      <c r="A124" s="15">
        <v>38421.5</v>
      </c>
      <c r="B124" t="b">
        <v>1</v>
      </c>
      <c r="C124">
        <v>-6.0000000000002267E-2</v>
      </c>
      <c r="D124">
        <v>-3.9999999999992042E-2</v>
      </c>
      <c r="E124">
        <v>-5.0000000000011369E-2</v>
      </c>
      <c r="F124">
        <v>-3.9999999999992042E-2</v>
      </c>
      <c r="G124">
        <v>-9.0000000000003411E-3</v>
      </c>
      <c r="H124">
        <v>-4.0499999999999758E-2</v>
      </c>
      <c r="I124">
        <v>-3.0499999999999972E-2</v>
      </c>
      <c r="J124">
        <v>-1.6499999999999741E-2</v>
      </c>
      <c r="Q124">
        <v>-2.5222589484769738E-2</v>
      </c>
      <c r="R124">
        <v>2.154785427622841E-2</v>
      </c>
      <c r="S124">
        <v>-7.7786712766595656E-2</v>
      </c>
      <c r="T124">
        <v>-4.4874312613501388E-2</v>
      </c>
      <c r="U124">
        <v>-2.2135831083346599E-2</v>
      </c>
      <c r="V124">
        <v>-5.6341430550446603E-2</v>
      </c>
    </row>
    <row r="125" spans="1:22" x14ac:dyDescent="0.2">
      <c r="A125" s="15">
        <v>38449.458333333343</v>
      </c>
      <c r="B125" t="b">
        <v>1</v>
      </c>
      <c r="C125">
        <v>-1.0000000000005119E-2</v>
      </c>
      <c r="D125">
        <v>0</v>
      </c>
      <c r="E125">
        <v>0</v>
      </c>
      <c r="F125">
        <v>1.0000000000005119E-2</v>
      </c>
      <c r="G125">
        <v>-3.0000000000001141E-3</v>
      </c>
      <c r="H125">
        <v>0</v>
      </c>
      <c r="I125">
        <v>-7.0000000000005613E-3</v>
      </c>
      <c r="J125">
        <v>-1.5000000000000571E-3</v>
      </c>
      <c r="Q125">
        <v>1.004016065110136E-2</v>
      </c>
      <c r="R125">
        <v>0.138257253240333</v>
      </c>
      <c r="S125">
        <v>-2.1296419619950772E-2</v>
      </c>
      <c r="T125">
        <v>6.4177128898563751E-3</v>
      </c>
      <c r="U125">
        <v>-5.53740517341339E-3</v>
      </c>
      <c r="V125">
        <v>4.0255218086713276E-3</v>
      </c>
    </row>
    <row r="126" spans="1:22" x14ac:dyDescent="0.2">
      <c r="A126" s="15">
        <v>38481.458333333343</v>
      </c>
      <c r="B126" t="b">
        <v>1</v>
      </c>
      <c r="C126">
        <v>-1.000000000001933E-2</v>
      </c>
      <c r="D126">
        <v>-9.9999999999909051E-3</v>
      </c>
      <c r="E126">
        <v>-9.9999999999909051E-3</v>
      </c>
      <c r="F126">
        <v>-9.9999999999909051E-3</v>
      </c>
      <c r="G126">
        <v>3.0000000000001141E-3</v>
      </c>
      <c r="H126">
        <v>0</v>
      </c>
      <c r="I126">
        <v>-7.499999999999396E-3</v>
      </c>
      <c r="J126">
        <v>0</v>
      </c>
      <c r="Q126">
        <v>-4.5940635299189132E-2</v>
      </c>
      <c r="R126">
        <v>7.3381031036419131E-3</v>
      </c>
      <c r="S126">
        <v>-6.6379026665657648E-2</v>
      </c>
      <c r="T126">
        <v>-4.7549559012850302E-2</v>
      </c>
      <c r="U126">
        <v>-0.1547976514503944</v>
      </c>
      <c r="V126">
        <v>-3.0621306544276191E-2</v>
      </c>
    </row>
    <row r="127" spans="1:22" x14ac:dyDescent="0.2">
      <c r="A127" s="15">
        <v>38483.395833333343</v>
      </c>
      <c r="B127" t="b">
        <v>0</v>
      </c>
      <c r="C127">
        <v>-3.000000000000114E-2</v>
      </c>
      <c r="D127">
        <v>-4.0000000000006253E-2</v>
      </c>
      <c r="E127">
        <v>-6.9999999999993179E-2</v>
      </c>
      <c r="F127">
        <v>-7.9999999999998295E-2</v>
      </c>
      <c r="G127">
        <v>-2.3000000000000579E-2</v>
      </c>
      <c r="H127">
        <v>-5.2500000000000213E-2</v>
      </c>
      <c r="I127">
        <v>-4.1499999999999197E-2</v>
      </c>
      <c r="J127">
        <v>-3.900000000000059E-2</v>
      </c>
      <c r="Q127">
        <v>-0.20971338342440049</v>
      </c>
      <c r="R127">
        <v>0.21225991500907779</v>
      </c>
      <c r="S127">
        <v>-0.2067430761841251</v>
      </c>
      <c r="T127">
        <v>-0.16462467243297851</v>
      </c>
      <c r="U127">
        <v>-9.9478119307150337E-2</v>
      </c>
      <c r="V127">
        <v>-0.18227438357712339</v>
      </c>
    </row>
    <row r="128" spans="1:22" x14ac:dyDescent="0.2">
      <c r="A128" s="15">
        <v>38512.458333333343</v>
      </c>
      <c r="B128" t="b">
        <v>1</v>
      </c>
      <c r="C128">
        <v>0</v>
      </c>
      <c r="D128">
        <v>0</v>
      </c>
      <c r="E128">
        <v>-1.0000000000005119E-2</v>
      </c>
      <c r="F128">
        <v>-1.0000000000005119E-2</v>
      </c>
      <c r="G128">
        <v>-8.49999999999973E-3</v>
      </c>
      <c r="H128">
        <v>0</v>
      </c>
      <c r="I128">
        <v>-4.0000000000004476E-3</v>
      </c>
      <c r="J128">
        <v>-7.5000000000002842E-3</v>
      </c>
      <c r="Q128">
        <v>0.13016923836596561</v>
      </c>
      <c r="R128">
        <v>2.233888091496539E-2</v>
      </c>
      <c r="S128">
        <v>-4.1138156219517441E-2</v>
      </c>
      <c r="T128">
        <v>8.4416381789992556E-2</v>
      </c>
      <c r="U128">
        <v>2.0799101553734541E-2</v>
      </c>
      <c r="V128">
        <v>0.1022341250303498</v>
      </c>
    </row>
    <row r="129" spans="1:22" x14ac:dyDescent="0.2">
      <c r="A129" s="15">
        <v>38540.458333333343</v>
      </c>
      <c r="B129" t="b">
        <v>1</v>
      </c>
      <c r="C129">
        <v>5.0000000000011369E-2</v>
      </c>
      <c r="D129">
        <v>6.4999999999997726E-2</v>
      </c>
      <c r="E129">
        <v>4.9999999999997158E-2</v>
      </c>
      <c r="F129">
        <v>4.0000000000020457E-2</v>
      </c>
      <c r="G129">
        <v>2.2000000000000242E-2</v>
      </c>
      <c r="H129">
        <v>3.8500000000000867E-2</v>
      </c>
      <c r="I129">
        <v>3.9500000000000313E-2</v>
      </c>
      <c r="J129">
        <v>2.4000000000000469E-2</v>
      </c>
      <c r="Q129">
        <v>0.7298222640304175</v>
      </c>
      <c r="R129">
        <v>-7.9944769692630757E-2</v>
      </c>
      <c r="S129">
        <v>-2.006449308056801E-2</v>
      </c>
      <c r="T129">
        <v>0.71472992890346632</v>
      </c>
      <c r="U129">
        <v>0.62744546790315781</v>
      </c>
      <c r="V129">
        <v>0.74615427111905319</v>
      </c>
    </row>
    <row r="130" spans="1:22" x14ac:dyDescent="0.2">
      <c r="A130" s="15">
        <v>38568.458333333343</v>
      </c>
      <c r="B130" t="b">
        <v>1</v>
      </c>
      <c r="C130">
        <v>-1.9999999999996021E-2</v>
      </c>
      <c r="D130">
        <v>-1.000000000001933E-2</v>
      </c>
      <c r="E130">
        <v>9.9999999999909051E-3</v>
      </c>
      <c r="F130">
        <v>0</v>
      </c>
      <c r="G130">
        <v>-5.0000000000061107E-4</v>
      </c>
      <c r="H130">
        <v>-1.500000000000945E-3</v>
      </c>
      <c r="I130">
        <v>-3.5000000000007252E-3</v>
      </c>
      <c r="J130">
        <v>-1.5000000000000571E-3</v>
      </c>
      <c r="Q130">
        <v>0.16004522339210331</v>
      </c>
      <c r="R130">
        <v>-5.0459543330511281E-2</v>
      </c>
      <c r="S130">
        <v>0</v>
      </c>
      <c r="T130">
        <v>9.4646116997523677E-2</v>
      </c>
      <c r="U130">
        <v>6.3775097336360886E-2</v>
      </c>
      <c r="V130">
        <v>0.1053780534833777</v>
      </c>
    </row>
    <row r="131" spans="1:22" x14ac:dyDescent="0.2">
      <c r="A131" s="15">
        <v>38574.395833333343</v>
      </c>
      <c r="B131" t="b">
        <v>0</v>
      </c>
      <c r="C131">
        <v>3.000000000000114E-2</v>
      </c>
      <c r="D131">
        <v>6.0000000000002267E-2</v>
      </c>
      <c r="E131">
        <v>7.9999999999984084E-2</v>
      </c>
      <c r="F131">
        <v>8.0000000000012506E-2</v>
      </c>
      <c r="G131">
        <v>2.1999999999998469E-2</v>
      </c>
      <c r="H131">
        <v>4.6999999999999709E-2</v>
      </c>
      <c r="I131">
        <v>4.5999999999999368E-2</v>
      </c>
      <c r="J131">
        <v>3.6499999999999311E-2</v>
      </c>
      <c r="Q131">
        <v>-6.4953143231946342E-2</v>
      </c>
      <c r="R131">
        <v>-0.19533375717081469</v>
      </c>
      <c r="S131">
        <v>0.13653020413084249</v>
      </c>
      <c r="T131">
        <v>-5.681849984910059E-2</v>
      </c>
      <c r="U131">
        <v>8.1681873111392633E-2</v>
      </c>
      <c r="V131">
        <v>-8.5468502629282739E-2</v>
      </c>
    </row>
    <row r="132" spans="1:22" x14ac:dyDescent="0.2">
      <c r="A132" s="15">
        <v>38603.458333333343</v>
      </c>
      <c r="B132" t="b">
        <v>1</v>
      </c>
      <c r="C132">
        <v>0</v>
      </c>
      <c r="D132">
        <v>-9.9999999999909051E-3</v>
      </c>
      <c r="E132">
        <v>-9.9999999999909051E-3</v>
      </c>
      <c r="F132">
        <v>-9.9999999999909051E-3</v>
      </c>
      <c r="G132">
        <v>-1.9000000000000131E-2</v>
      </c>
      <c r="H132">
        <v>-1.9000000000000131E-2</v>
      </c>
      <c r="I132">
        <v>-1.000000000000068E-2</v>
      </c>
      <c r="J132">
        <v>-1.4000000000000229E-2</v>
      </c>
      <c r="Q132">
        <v>-2.333123362814149E-2</v>
      </c>
      <c r="R132">
        <v>7.3980916298708621E-2</v>
      </c>
      <c r="S132">
        <v>-2.449346172894451E-2</v>
      </c>
      <c r="T132">
        <v>-2.6039438736802371E-2</v>
      </c>
      <c r="U132">
        <v>-2.941947718511528E-2</v>
      </c>
      <c r="V132">
        <v>-3.9203607233957882E-2</v>
      </c>
    </row>
    <row r="133" spans="1:22" x14ac:dyDescent="0.2">
      <c r="A133" s="15">
        <v>38631.458333333343</v>
      </c>
      <c r="B133" t="b">
        <v>1</v>
      </c>
      <c r="C133">
        <v>0</v>
      </c>
      <c r="D133">
        <v>0</v>
      </c>
      <c r="E133">
        <v>0</v>
      </c>
      <c r="F133">
        <v>0</v>
      </c>
      <c r="G133">
        <v>4.9999999999998934E-3</v>
      </c>
      <c r="H133">
        <v>0</v>
      </c>
      <c r="I133">
        <v>-3.499999999999837E-3</v>
      </c>
      <c r="J133">
        <v>4.4999999999992824E-3</v>
      </c>
      <c r="Q133">
        <v>7.4345991064433292E-2</v>
      </c>
      <c r="R133">
        <v>-1.4675667769225241E-2</v>
      </c>
      <c r="S133">
        <v>4.2389047305078982E-2</v>
      </c>
      <c r="T133">
        <v>3.9448466301109868E-2</v>
      </c>
      <c r="U133">
        <v>-0.11069209424420021</v>
      </c>
      <c r="V133">
        <v>6.5283285135137703E-2</v>
      </c>
    </row>
    <row r="134" spans="1:22" x14ac:dyDescent="0.2">
      <c r="A134" s="15">
        <v>38666.5</v>
      </c>
      <c r="B134" t="b">
        <v>1</v>
      </c>
      <c r="C134">
        <v>0</v>
      </c>
      <c r="D134">
        <v>0</v>
      </c>
      <c r="E134">
        <v>0</v>
      </c>
      <c r="F134">
        <v>-4.9999999999954534E-3</v>
      </c>
      <c r="G134">
        <v>-9.9999999999944578E-4</v>
      </c>
      <c r="H134">
        <v>0</v>
      </c>
      <c r="I134">
        <v>0</v>
      </c>
      <c r="J134">
        <v>0</v>
      </c>
      <c r="Q134">
        <v>-1.8341051910851999E-2</v>
      </c>
      <c r="R134">
        <v>1.485001487730386E-2</v>
      </c>
      <c r="S134">
        <v>-0.1286615093641785</v>
      </c>
      <c r="T134">
        <v>-3.6605096897801559E-3</v>
      </c>
      <c r="U134">
        <v>2.1243759725280139E-2</v>
      </c>
      <c r="V134">
        <v>-1.837880556195159E-3</v>
      </c>
    </row>
    <row r="135" spans="1:22" x14ac:dyDescent="0.2">
      <c r="A135" s="15">
        <v>38672.4375</v>
      </c>
      <c r="B135" t="b">
        <v>0</v>
      </c>
      <c r="C135">
        <v>0</v>
      </c>
      <c r="D135">
        <v>-2.0000000000010228E-2</v>
      </c>
      <c r="E135">
        <v>-1.999999999998181E-2</v>
      </c>
      <c r="F135">
        <v>-3.000000000000114E-2</v>
      </c>
      <c r="G135">
        <v>-1.349999999999962E-2</v>
      </c>
      <c r="H135">
        <v>-1.849999999999952E-2</v>
      </c>
      <c r="I135">
        <v>-1.9500000000000739E-2</v>
      </c>
      <c r="J135">
        <v>-1.9000000000000131E-2</v>
      </c>
      <c r="Q135">
        <v>5.5486199231722821E-2</v>
      </c>
      <c r="R135">
        <v>0.12561423309085029</v>
      </c>
      <c r="S135">
        <v>-0.40200768498374367</v>
      </c>
      <c r="T135">
        <v>-3.9026833283855922E-2</v>
      </c>
      <c r="U135">
        <v>-0.33045971385195122</v>
      </c>
      <c r="V135">
        <v>1.6673614044520949E-2</v>
      </c>
    </row>
    <row r="136" spans="1:22" x14ac:dyDescent="0.2">
      <c r="A136" s="15">
        <v>38694.5</v>
      </c>
      <c r="B136" t="b">
        <v>1</v>
      </c>
      <c r="C136">
        <v>0</v>
      </c>
      <c r="D136">
        <v>0</v>
      </c>
      <c r="E136">
        <v>0</v>
      </c>
      <c r="F136">
        <v>0</v>
      </c>
      <c r="G136">
        <v>-4.9999999999972289E-4</v>
      </c>
      <c r="H136">
        <v>0</v>
      </c>
      <c r="I136">
        <v>-5.0000000000007816E-3</v>
      </c>
      <c r="J136">
        <v>-9.9999999999944578E-4</v>
      </c>
      <c r="Q136">
        <v>-0.1043107648040404</v>
      </c>
      <c r="R136">
        <v>-3.7043897441591873E-2</v>
      </c>
      <c r="S136">
        <v>4.8715488189941418E-2</v>
      </c>
      <c r="T136">
        <v>-8.7333582076439598E-2</v>
      </c>
      <c r="U136">
        <v>-7.1131347025584546E-2</v>
      </c>
      <c r="V136">
        <v>-9.984660761062969E-2</v>
      </c>
    </row>
    <row r="137" spans="1:22" x14ac:dyDescent="0.2">
      <c r="A137" s="15">
        <v>38729.5</v>
      </c>
      <c r="B137" t="b">
        <v>1</v>
      </c>
      <c r="C137">
        <v>9.9999999999909051E-3</v>
      </c>
      <c r="D137">
        <v>0</v>
      </c>
      <c r="E137">
        <v>0</v>
      </c>
      <c r="F137">
        <v>0</v>
      </c>
      <c r="G137">
        <v>-1.399999999999935E-2</v>
      </c>
      <c r="H137">
        <v>5.0000000000007816E-3</v>
      </c>
      <c r="I137">
        <v>-1.0999999999999229E-2</v>
      </c>
      <c r="J137">
        <v>-1.2500000000000179E-2</v>
      </c>
      <c r="Q137">
        <v>-5.6767321015286143E-2</v>
      </c>
      <c r="R137">
        <v>-0.1238841477442065</v>
      </c>
      <c r="S137">
        <v>1.6959692504912031E-2</v>
      </c>
      <c r="T137">
        <v>-4.2722675364871072E-2</v>
      </c>
      <c r="U137">
        <v>2.79581077537614E-2</v>
      </c>
      <c r="V137">
        <v>-5.2367903163826668E-2</v>
      </c>
    </row>
    <row r="138" spans="1:22" x14ac:dyDescent="0.2">
      <c r="A138" s="15">
        <v>38757.5</v>
      </c>
      <c r="B138" t="b">
        <v>1</v>
      </c>
      <c r="C138">
        <v>9.9999999999909051E-3</v>
      </c>
      <c r="D138">
        <v>9.9999999999909051E-3</v>
      </c>
      <c r="E138">
        <v>9.9999999999909051E-3</v>
      </c>
      <c r="F138">
        <v>0</v>
      </c>
      <c r="G138">
        <v>-5.0000000000007816E-3</v>
      </c>
      <c r="H138">
        <v>1.2500000000000179E-2</v>
      </c>
      <c r="I138">
        <v>-4.9999999999972289E-4</v>
      </c>
      <c r="J138">
        <v>0</v>
      </c>
      <c r="Q138">
        <v>-6.9231104837740531E-2</v>
      </c>
      <c r="R138">
        <v>-2.179836520890888E-2</v>
      </c>
      <c r="S138">
        <v>8.6131407871192778E-3</v>
      </c>
      <c r="T138">
        <v>-4.778907822446854E-2</v>
      </c>
      <c r="U138">
        <v>3.4337711728880997E-2</v>
      </c>
      <c r="V138">
        <v>-5.8675320083239058E-2</v>
      </c>
    </row>
    <row r="139" spans="1:22" x14ac:dyDescent="0.2">
      <c r="A139" s="15">
        <v>38763.4375</v>
      </c>
      <c r="B139" t="b">
        <v>0</v>
      </c>
      <c r="C139">
        <v>3.9999999999992042E-2</v>
      </c>
      <c r="D139">
        <v>4.0000000000006253E-2</v>
      </c>
      <c r="E139">
        <v>4.9999999999997158E-2</v>
      </c>
      <c r="F139">
        <v>4.9999999999997158E-2</v>
      </c>
      <c r="G139">
        <v>2.1499999999999631E-2</v>
      </c>
      <c r="H139">
        <v>3.0999999999999691E-2</v>
      </c>
      <c r="I139">
        <v>3.6500000000000199E-2</v>
      </c>
      <c r="J139">
        <v>3.2000000000000028E-2</v>
      </c>
      <c r="Q139">
        <v>-0.28972366809978212</v>
      </c>
      <c r="R139">
        <v>-0.27708928331033889</v>
      </c>
      <c r="S139">
        <v>0.28206327703702527</v>
      </c>
      <c r="T139">
        <v>-0.26015305430678382</v>
      </c>
      <c r="U139">
        <v>-0.1941841926344523</v>
      </c>
      <c r="V139">
        <v>-0.27425395151431081</v>
      </c>
    </row>
    <row r="140" spans="1:22" x14ac:dyDescent="0.2">
      <c r="A140" s="15">
        <v>38785.5</v>
      </c>
      <c r="B140" t="b">
        <v>1</v>
      </c>
      <c r="C140">
        <v>0</v>
      </c>
      <c r="D140">
        <v>0</v>
      </c>
      <c r="E140">
        <v>0</v>
      </c>
      <c r="F140">
        <v>0</v>
      </c>
      <c r="G140">
        <v>1.05000000000004E-2</v>
      </c>
      <c r="H140">
        <v>0</v>
      </c>
      <c r="I140">
        <v>2.4999999999995031E-3</v>
      </c>
      <c r="J140">
        <v>6.0000000000002274E-3</v>
      </c>
      <c r="Q140">
        <v>0.17099867367835489</v>
      </c>
      <c r="R140">
        <v>-1.4574072750434651E-2</v>
      </c>
      <c r="S140">
        <v>2.58795452395475E-2</v>
      </c>
      <c r="T140">
        <v>0.13848602059340459</v>
      </c>
      <c r="U140">
        <v>3.208092949535057E-3</v>
      </c>
      <c r="V140">
        <v>0.15729456644578479</v>
      </c>
    </row>
    <row r="141" spans="1:22" x14ac:dyDescent="0.2">
      <c r="A141" s="15">
        <v>38813.458333333343</v>
      </c>
      <c r="B141" t="b">
        <v>1</v>
      </c>
      <c r="C141">
        <v>0</v>
      </c>
      <c r="D141">
        <v>0</v>
      </c>
      <c r="E141">
        <v>9.9999999999909051E-3</v>
      </c>
      <c r="F141">
        <v>5.0000000000096634E-3</v>
      </c>
      <c r="G141">
        <v>1.2999999999999901E-2</v>
      </c>
      <c r="H141">
        <v>0</v>
      </c>
      <c r="I141">
        <v>5.4999999999996163E-3</v>
      </c>
      <c r="J141">
        <v>9.9999999999997868E-3</v>
      </c>
      <c r="Q141">
        <v>-0.19800352975073571</v>
      </c>
      <c r="R141">
        <v>-4.9973229667521928E-2</v>
      </c>
      <c r="S141">
        <v>1.7064361123281909E-2</v>
      </c>
      <c r="T141">
        <v>-0.17254304502228021</v>
      </c>
      <c r="U141">
        <v>-6.1282822133193797E-2</v>
      </c>
      <c r="V141">
        <v>-0.19672842126237811</v>
      </c>
    </row>
    <row r="142" spans="1:22" x14ac:dyDescent="0.2">
      <c r="A142" s="15">
        <v>38841.458333333343</v>
      </c>
      <c r="B142" t="b">
        <v>1</v>
      </c>
      <c r="C142">
        <v>0</v>
      </c>
      <c r="D142">
        <v>0</v>
      </c>
      <c r="E142">
        <v>0</v>
      </c>
      <c r="F142">
        <v>0</v>
      </c>
      <c r="G142">
        <v>-1.899999999999924E-2</v>
      </c>
      <c r="H142">
        <v>0</v>
      </c>
      <c r="I142">
        <v>-1.149999999999984E-2</v>
      </c>
      <c r="J142">
        <v>-1.6499999999999741E-2</v>
      </c>
      <c r="Q142">
        <v>-0.1159372412585071</v>
      </c>
      <c r="R142">
        <v>3.6548372176895327E-2</v>
      </c>
      <c r="S142">
        <v>-5.4285870721351159E-2</v>
      </c>
      <c r="T142">
        <v>-8.4652726186163818E-2</v>
      </c>
      <c r="U142">
        <v>2.3171352252802539E-2</v>
      </c>
      <c r="V142">
        <v>-0.1093240240734303</v>
      </c>
    </row>
    <row r="143" spans="1:22" x14ac:dyDescent="0.2">
      <c r="A143" s="15">
        <v>38847.395833333343</v>
      </c>
      <c r="B143" t="b">
        <v>0</v>
      </c>
      <c r="C143">
        <v>-2.0000000000010228E-2</v>
      </c>
      <c r="D143">
        <v>-3.000000000000114E-2</v>
      </c>
      <c r="E143">
        <v>-1.9999999999996021E-2</v>
      </c>
      <c r="F143">
        <v>-3.000000000000114E-2</v>
      </c>
      <c r="G143">
        <v>-1.6500000000000629E-2</v>
      </c>
      <c r="H143">
        <v>-2.5000000000000359E-2</v>
      </c>
      <c r="I143">
        <v>-2.3000000000000579E-2</v>
      </c>
      <c r="J143">
        <v>-1.9000000000000131E-2</v>
      </c>
      <c r="Q143">
        <v>0.2251469522626621</v>
      </c>
      <c r="R143">
        <v>0.34982908645249472</v>
      </c>
      <c r="S143">
        <v>-0.21463265825517649</v>
      </c>
      <c r="T143">
        <v>0.1696206388292012</v>
      </c>
      <c r="U143">
        <v>7.8908692819368298E-3</v>
      </c>
      <c r="V143">
        <v>0.20499371698304</v>
      </c>
    </row>
    <row r="144" spans="1:22" x14ac:dyDescent="0.2">
      <c r="A144" s="15">
        <v>38876.458333333343</v>
      </c>
      <c r="B144" t="b">
        <v>1</v>
      </c>
      <c r="C144">
        <v>0</v>
      </c>
      <c r="D144">
        <v>0</v>
      </c>
      <c r="E144">
        <v>0</v>
      </c>
      <c r="F144">
        <v>1.0000000000005119E-2</v>
      </c>
      <c r="G144">
        <v>2.9999999999992259E-3</v>
      </c>
      <c r="H144">
        <v>-5.0000000000061107E-4</v>
      </c>
      <c r="I144">
        <v>-3.0000000000001141E-3</v>
      </c>
      <c r="J144">
        <v>-4.9999999999972289E-4</v>
      </c>
      <c r="Q144">
        <v>-0.32051309489474988</v>
      </c>
      <c r="R144">
        <v>-1.4488554067654039E-2</v>
      </c>
      <c r="S144">
        <v>6.4901703243599229E-2</v>
      </c>
      <c r="T144">
        <v>-0.29409363132344879</v>
      </c>
      <c r="U144">
        <v>-6.478130950756622E-2</v>
      </c>
      <c r="V144">
        <v>-0.34384192221489229</v>
      </c>
    </row>
    <row r="145" spans="1:22" x14ac:dyDescent="0.2">
      <c r="A145" s="15">
        <v>38904.458333333343</v>
      </c>
      <c r="B145" t="b">
        <v>1</v>
      </c>
      <c r="C145">
        <v>0</v>
      </c>
      <c r="D145">
        <v>0</v>
      </c>
      <c r="E145">
        <v>0</v>
      </c>
      <c r="F145">
        <v>0</v>
      </c>
      <c r="G145">
        <v>-4.9999999999990052E-3</v>
      </c>
      <c r="H145">
        <v>7.5000000000002842E-3</v>
      </c>
      <c r="I145">
        <v>0</v>
      </c>
      <c r="J145">
        <v>-3.9999999999995586E-3</v>
      </c>
      <c r="Q145">
        <v>2.5505866487492309E-2</v>
      </c>
      <c r="R145">
        <v>3.6021757530825482E-2</v>
      </c>
      <c r="S145">
        <v>-5.7215253512282523E-2</v>
      </c>
      <c r="T145">
        <v>8.8445772429622593E-2</v>
      </c>
      <c r="U145">
        <v>-4.1288847833811808E-2</v>
      </c>
      <c r="V145">
        <v>5.7892049973702342E-2</v>
      </c>
    </row>
    <row r="146" spans="1:22" x14ac:dyDescent="0.2">
      <c r="A146" s="15">
        <v>38932.458333333343</v>
      </c>
      <c r="B146" t="b">
        <v>1</v>
      </c>
      <c r="C146">
        <v>0.12999999999999551</v>
      </c>
      <c r="D146">
        <v>0.1600000000000108</v>
      </c>
      <c r="E146">
        <v>0.15000000000000571</v>
      </c>
      <c r="F146">
        <v>0.1350000000000193</v>
      </c>
      <c r="G146">
        <v>5.5000000000000597E-2</v>
      </c>
      <c r="H146">
        <v>0.1210000000000004</v>
      </c>
      <c r="I146">
        <v>8.3500000000000796E-2</v>
      </c>
      <c r="J146">
        <v>7.5499999999999901E-2</v>
      </c>
      <c r="Q146">
        <v>-0.85175763021311468</v>
      </c>
      <c r="R146">
        <v>-0.59605018441472168</v>
      </c>
      <c r="S146">
        <v>0.72915326511830614</v>
      </c>
      <c r="T146">
        <v>-0.80013980546232233</v>
      </c>
      <c r="U146">
        <v>-0.76727267260048393</v>
      </c>
      <c r="V146">
        <v>-0.8443465660103584</v>
      </c>
    </row>
    <row r="147" spans="1:22" x14ac:dyDescent="0.2">
      <c r="A147" s="15">
        <v>38938.395833333343</v>
      </c>
      <c r="B147" t="b">
        <v>0</v>
      </c>
      <c r="C147">
        <v>-9.9999999999909051E-3</v>
      </c>
      <c r="D147">
        <v>-1.9999999999996021E-2</v>
      </c>
      <c r="E147">
        <v>-1.9999999999996021E-2</v>
      </c>
      <c r="F147">
        <v>-2.9999999999986929E-2</v>
      </c>
      <c r="G147">
        <v>-1.8500000000000408E-2</v>
      </c>
      <c r="H147">
        <v>-1.799999999999979E-2</v>
      </c>
      <c r="I147">
        <v>-2.2000000000000242E-2</v>
      </c>
      <c r="J147">
        <v>-1.899999999999924E-2</v>
      </c>
      <c r="Q147">
        <v>0.2501295076747283</v>
      </c>
      <c r="R147">
        <v>0.20008158143942009</v>
      </c>
      <c r="S147">
        <v>-4.716239672389122E-2</v>
      </c>
      <c r="T147">
        <v>0.2361894078753721</v>
      </c>
      <c r="U147">
        <v>0.1163517400875662</v>
      </c>
      <c r="V147">
        <v>0.25031302181184861</v>
      </c>
    </row>
    <row r="148" spans="1:22" x14ac:dyDescent="0.2">
      <c r="A148" s="15">
        <v>38967.458333333343</v>
      </c>
      <c r="B148" t="b">
        <v>1</v>
      </c>
      <c r="C148">
        <v>-1.0000000000005119E-2</v>
      </c>
      <c r="D148">
        <v>0</v>
      </c>
      <c r="E148">
        <v>-1.0000000000005119E-2</v>
      </c>
      <c r="F148">
        <v>0</v>
      </c>
      <c r="G148">
        <v>8.8817841970012523E-16</v>
      </c>
      <c r="H148">
        <v>-2.0000000000006679E-3</v>
      </c>
      <c r="I148">
        <v>-3.5000000000007252E-3</v>
      </c>
      <c r="J148">
        <v>2.5000000000003908E-3</v>
      </c>
      <c r="Q148">
        <v>4.2544140186350887E-2</v>
      </c>
      <c r="R148">
        <v>1.4726456104959601E-2</v>
      </c>
      <c r="S148">
        <v>-0.17308643995298209</v>
      </c>
      <c r="T148">
        <v>1.6360682978188379E-2</v>
      </c>
      <c r="U148">
        <v>-1.039090588835734E-2</v>
      </c>
      <c r="V148">
        <v>1.7027363013426111E-2</v>
      </c>
    </row>
    <row r="149" spans="1:22" x14ac:dyDescent="0.2">
      <c r="A149" s="15">
        <v>38995.458333333343</v>
      </c>
      <c r="B149" t="b">
        <v>1</v>
      </c>
      <c r="C149">
        <v>-3.9999999999992042E-2</v>
      </c>
      <c r="D149">
        <v>-5.0000000000011369E-2</v>
      </c>
      <c r="E149">
        <v>-5.9999999999988063E-2</v>
      </c>
      <c r="F149">
        <v>-6.0000000000002267E-2</v>
      </c>
      <c r="G149">
        <v>-2.0500000000000181E-2</v>
      </c>
      <c r="H149">
        <v>-1.7000000000000352E-2</v>
      </c>
      <c r="I149">
        <v>-3.8499999999999979E-2</v>
      </c>
      <c r="J149">
        <v>-3.1500000000000312E-2</v>
      </c>
      <c r="Q149">
        <v>-3.7383954411552622E-2</v>
      </c>
      <c r="R149">
        <v>0.14819208402600029</v>
      </c>
      <c r="S149">
        <v>-0.13005801358174551</v>
      </c>
      <c r="T149">
        <v>-5.2123206239684814E-3</v>
      </c>
      <c r="U149">
        <v>4.9531187323736958E-3</v>
      </c>
      <c r="V149">
        <v>-2.8360985484027879E-2</v>
      </c>
    </row>
    <row r="150" spans="1:22" x14ac:dyDescent="0.2">
      <c r="A150" s="15">
        <v>39030.5</v>
      </c>
      <c r="B150" t="b">
        <v>1</v>
      </c>
      <c r="C150">
        <v>0</v>
      </c>
      <c r="D150">
        <v>-1.000000000001933E-2</v>
      </c>
      <c r="E150">
        <v>-9.9999999999909051E-3</v>
      </c>
      <c r="F150">
        <v>-9.9999999999909051E-3</v>
      </c>
      <c r="G150">
        <v>-7.0000000000005613E-3</v>
      </c>
      <c r="H150">
        <v>1.8500000000000408E-2</v>
      </c>
      <c r="I150">
        <v>-4.0000000000004476E-3</v>
      </c>
      <c r="J150">
        <v>-1.200000000000045E-2</v>
      </c>
      <c r="Q150">
        <v>5.616625358265992E-2</v>
      </c>
      <c r="R150">
        <v>0.22356369696087339</v>
      </c>
      <c r="S150">
        <v>-0.20468150317897479</v>
      </c>
      <c r="T150">
        <v>7.8744978586655634E-2</v>
      </c>
      <c r="U150">
        <v>1.135492663092919E-2</v>
      </c>
      <c r="V150">
        <v>8.0424646445294456E-2</v>
      </c>
    </row>
    <row r="151" spans="1:22" x14ac:dyDescent="0.2">
      <c r="A151" s="15">
        <v>39036.4375</v>
      </c>
      <c r="B151" t="b">
        <v>0</v>
      </c>
      <c r="C151">
        <v>-1.0000000000005119E-2</v>
      </c>
      <c r="D151">
        <v>-3.9999999999992042E-2</v>
      </c>
      <c r="E151">
        <v>-4.9999999999997158E-2</v>
      </c>
      <c r="F151">
        <v>-5.0000000000011369E-2</v>
      </c>
      <c r="G151">
        <v>-1.149999999999984E-2</v>
      </c>
      <c r="H151">
        <v>-3.3999999999999808E-2</v>
      </c>
      <c r="I151">
        <v>-2.349999999999941E-2</v>
      </c>
      <c r="J151">
        <v>-1.7499999999999179E-2</v>
      </c>
      <c r="Q151">
        <v>-2.4082845103066571E-2</v>
      </c>
      <c r="R151">
        <v>4.427064190949892E-2</v>
      </c>
      <c r="S151">
        <v>-0.21183082644404999</v>
      </c>
      <c r="T151">
        <v>3.127330838879061E-4</v>
      </c>
      <c r="U151">
        <v>2.2240756277255969E-2</v>
      </c>
      <c r="V151">
        <v>-1.60888102672061E-2</v>
      </c>
    </row>
    <row r="152" spans="1:22" x14ac:dyDescent="0.2">
      <c r="A152" s="15">
        <v>39058.5</v>
      </c>
      <c r="B152" t="b">
        <v>1</v>
      </c>
      <c r="C152">
        <v>0</v>
      </c>
      <c r="D152">
        <v>0</v>
      </c>
      <c r="E152">
        <v>0</v>
      </c>
      <c r="F152">
        <v>0</v>
      </c>
      <c r="G152">
        <v>1.5000000000000571E-3</v>
      </c>
      <c r="H152">
        <v>0</v>
      </c>
      <c r="I152">
        <v>0</v>
      </c>
      <c r="J152">
        <v>2.5000000000003908E-3</v>
      </c>
      <c r="Q152">
        <v>-4.900959869394228E-2</v>
      </c>
      <c r="R152">
        <v>2.219509497515304E-2</v>
      </c>
      <c r="S152">
        <v>-4.8298741358607337E-2</v>
      </c>
      <c r="T152">
        <v>-3.1650077015569877E-2</v>
      </c>
      <c r="U152">
        <v>1.5630387343662729E-2</v>
      </c>
      <c r="V152">
        <v>-4.0874719555404233E-2</v>
      </c>
    </row>
    <row r="153" spans="1:22" x14ac:dyDescent="0.2">
      <c r="A153" s="15">
        <v>39093.5</v>
      </c>
      <c r="B153" t="b">
        <v>1</v>
      </c>
      <c r="C153">
        <v>0.17000000000000171</v>
      </c>
      <c r="D153">
        <v>0.18000000000000679</v>
      </c>
      <c r="E153">
        <v>0.17000000000001589</v>
      </c>
      <c r="F153">
        <v>0.15999999999999659</v>
      </c>
      <c r="G153">
        <v>5.9999999999999609E-2</v>
      </c>
      <c r="H153">
        <v>0.1474999999999991</v>
      </c>
      <c r="I153">
        <v>0.1115000000000004</v>
      </c>
      <c r="J153">
        <v>0.1005000000000003</v>
      </c>
      <c r="Q153">
        <v>-0.70525584147537757</v>
      </c>
      <c r="R153">
        <v>-0.55451622043948845</v>
      </c>
      <c r="S153">
        <v>0.68917905922421596</v>
      </c>
      <c r="T153">
        <v>-0.67682365148357349</v>
      </c>
      <c r="U153">
        <v>-0.85240615090685878</v>
      </c>
      <c r="V153">
        <v>-0.67406882466798379</v>
      </c>
    </row>
    <row r="154" spans="1:22" x14ac:dyDescent="0.2">
      <c r="A154" s="15">
        <v>39121.5</v>
      </c>
      <c r="B154" t="b">
        <v>1</v>
      </c>
      <c r="C154">
        <v>-5.0000000000011369E-2</v>
      </c>
      <c r="D154">
        <v>-6.0000000000002267E-2</v>
      </c>
      <c r="E154">
        <v>-5.0000000000011369E-2</v>
      </c>
      <c r="F154">
        <v>-3.9999999999992042E-2</v>
      </c>
      <c r="G154">
        <v>-1.0999999999999229E-2</v>
      </c>
      <c r="H154">
        <v>-3.4500000000001307E-2</v>
      </c>
      <c r="I154">
        <v>-3.3000000000000362E-2</v>
      </c>
      <c r="J154">
        <v>-2.3500000000000298E-2</v>
      </c>
      <c r="Q154">
        <v>-3.9400327027578896E-3</v>
      </c>
      <c r="R154">
        <v>0.32522813525020672</v>
      </c>
      <c r="S154">
        <v>-0.35875618912162111</v>
      </c>
      <c r="T154">
        <v>2.18385645653143E-2</v>
      </c>
      <c r="U154">
        <v>3.3083466404036699E-2</v>
      </c>
      <c r="V154">
        <v>1.2580198783666671E-2</v>
      </c>
    </row>
    <row r="155" spans="1:22" x14ac:dyDescent="0.2">
      <c r="A155" s="15">
        <v>39127.4375</v>
      </c>
      <c r="B155" t="b">
        <v>0</v>
      </c>
      <c r="C155">
        <v>0</v>
      </c>
      <c r="D155">
        <v>1.0000000000005119E-2</v>
      </c>
      <c r="E155">
        <v>0</v>
      </c>
      <c r="F155">
        <v>0</v>
      </c>
      <c r="G155">
        <v>1.200000000000045E-2</v>
      </c>
      <c r="H155">
        <v>1.9000000000000131E-2</v>
      </c>
      <c r="I155">
        <v>7.5000000000002842E-3</v>
      </c>
      <c r="J155">
        <v>1.1000000000000121E-2</v>
      </c>
      <c r="Q155">
        <v>-0.1805621467171932</v>
      </c>
      <c r="R155">
        <v>-0.23871701004262039</v>
      </c>
      <c r="S155">
        <v>0.16384632835223559</v>
      </c>
      <c r="T155">
        <v>-0.15383525739594009</v>
      </c>
      <c r="U155">
        <v>-0.10169978580813679</v>
      </c>
      <c r="V155">
        <v>-0.16914382820732499</v>
      </c>
    </row>
    <row r="156" spans="1:22" x14ac:dyDescent="0.2">
      <c r="A156" s="15">
        <v>39149.5</v>
      </c>
      <c r="B156" t="b">
        <v>1</v>
      </c>
      <c r="C156">
        <v>-4.0000000000006253E-2</v>
      </c>
      <c r="D156">
        <v>-3.000000000000114E-2</v>
      </c>
      <c r="E156">
        <v>-3.000000000000114E-2</v>
      </c>
      <c r="F156">
        <v>-2.0000000000010228E-2</v>
      </c>
      <c r="G156">
        <v>-1.349999999999962E-2</v>
      </c>
      <c r="H156">
        <v>-2.8000000000000469E-2</v>
      </c>
      <c r="I156">
        <v>-1.349999999999962E-2</v>
      </c>
      <c r="J156">
        <v>-1.699999999999946E-2</v>
      </c>
      <c r="Q156">
        <v>0.104796462633999</v>
      </c>
      <c r="R156">
        <v>0.2203776694452273</v>
      </c>
      <c r="S156">
        <v>-0.12936947132790519</v>
      </c>
      <c r="T156">
        <v>0.115504288362672</v>
      </c>
      <c r="U156">
        <v>0.12475172930339801</v>
      </c>
      <c r="V156">
        <v>0.1176669838130238</v>
      </c>
    </row>
    <row r="157" spans="1:22" x14ac:dyDescent="0.2">
      <c r="A157" s="15">
        <v>39177.458333333343</v>
      </c>
      <c r="B157" t="b">
        <v>1</v>
      </c>
      <c r="C157">
        <v>-4.9999999999997158E-2</v>
      </c>
      <c r="D157">
        <v>-3.9999999999992042E-2</v>
      </c>
      <c r="E157">
        <v>-3.000000000000114E-2</v>
      </c>
      <c r="F157">
        <v>-3.000000000000114E-2</v>
      </c>
      <c r="G157">
        <v>-1.199999999999957E-2</v>
      </c>
      <c r="H157">
        <v>-1.550000000000029E-2</v>
      </c>
      <c r="I157">
        <v>-3.1499999999999417E-2</v>
      </c>
      <c r="J157">
        <v>-2.2999999999999691E-2</v>
      </c>
      <c r="Q157">
        <v>0.11744442314557089</v>
      </c>
      <c r="R157">
        <v>6.6403514447976875E-2</v>
      </c>
      <c r="S157">
        <v>-2.5342439718087921E-3</v>
      </c>
      <c r="T157">
        <v>9.4894245233263064E-2</v>
      </c>
      <c r="U157">
        <v>8.2263078591836347E-2</v>
      </c>
      <c r="V157">
        <v>9.2631122828379375E-2</v>
      </c>
    </row>
    <row r="158" spans="1:22" x14ac:dyDescent="0.2">
      <c r="A158" s="15">
        <v>39212.458333333343</v>
      </c>
      <c r="B158" t="b">
        <v>1</v>
      </c>
      <c r="C158">
        <v>0</v>
      </c>
      <c r="D158">
        <v>9.9999999999909051E-3</v>
      </c>
      <c r="E158">
        <v>9.9999999999909051E-3</v>
      </c>
      <c r="F158">
        <v>1.999999999998181E-2</v>
      </c>
      <c r="G158">
        <v>8.5000000000006182E-3</v>
      </c>
      <c r="H158">
        <v>1.7000000000000352E-2</v>
      </c>
      <c r="I158">
        <v>1.1499999999998961E-2</v>
      </c>
      <c r="J158">
        <v>7.0000000000005613E-3</v>
      </c>
      <c r="Q158">
        <v>7.2584191294254197E-2</v>
      </c>
      <c r="R158">
        <v>-8.080808520536209E-2</v>
      </c>
      <c r="S158">
        <v>9.5559027540232933E-2</v>
      </c>
      <c r="T158">
        <v>2.6492561632380781E-2</v>
      </c>
      <c r="U158">
        <v>-8.4503546721180101E-2</v>
      </c>
      <c r="V158">
        <v>5.6644648212682107E-2</v>
      </c>
    </row>
    <row r="159" spans="1:22" x14ac:dyDescent="0.2">
      <c r="A159" s="15">
        <v>39218.395833333343</v>
      </c>
      <c r="B159" t="b">
        <v>0</v>
      </c>
      <c r="C159">
        <v>9.9999999999909051E-3</v>
      </c>
      <c r="D159">
        <v>3.000000000000114E-2</v>
      </c>
      <c r="E159">
        <v>2.9999999999986929E-2</v>
      </c>
      <c r="F159">
        <v>2.0000000000010228E-2</v>
      </c>
      <c r="G159">
        <v>8.49999999999973E-3</v>
      </c>
      <c r="H159">
        <v>1.849999999999952E-2</v>
      </c>
      <c r="I159">
        <v>1.599999999999913E-2</v>
      </c>
      <c r="J159">
        <v>1.349999999999962E-2</v>
      </c>
      <c r="Q159">
        <v>-4.9428719091679341E-2</v>
      </c>
      <c r="R159">
        <v>9.4852438617152757E-2</v>
      </c>
      <c r="S159">
        <v>-9.0718953881960829E-2</v>
      </c>
      <c r="T159">
        <v>-4.1311478879265451E-2</v>
      </c>
      <c r="U159">
        <v>-5.5281669759210672E-2</v>
      </c>
      <c r="V159">
        <v>-4.8746306909265513E-2</v>
      </c>
    </row>
    <row r="160" spans="1:22" x14ac:dyDescent="0.2">
      <c r="A160" s="15">
        <v>39240.458333333343</v>
      </c>
      <c r="B160" t="b">
        <v>1</v>
      </c>
      <c r="C160">
        <v>-3.9999999999992042E-2</v>
      </c>
      <c r="D160">
        <v>-1.9999999999996021E-2</v>
      </c>
      <c r="E160">
        <v>-2.0000000000010228E-2</v>
      </c>
      <c r="F160">
        <v>-9.9999999999909051E-3</v>
      </c>
      <c r="G160">
        <v>-2.4999999999995031E-3</v>
      </c>
      <c r="H160">
        <v>-1.000000000000068E-2</v>
      </c>
      <c r="I160">
        <v>-1.2500000000000179E-2</v>
      </c>
      <c r="J160">
        <v>-6.5000000000008376E-3</v>
      </c>
      <c r="Q160">
        <v>0.1146526151735543</v>
      </c>
      <c r="R160">
        <v>0.17696509558567189</v>
      </c>
      <c r="S160">
        <v>-0.11069461997250581</v>
      </c>
      <c r="T160">
        <v>0.1116922374778824</v>
      </c>
      <c r="U160">
        <v>9.0397413626305934E-2</v>
      </c>
      <c r="V160">
        <v>0.11782980314580981</v>
      </c>
    </row>
    <row r="161" spans="1:22" x14ac:dyDescent="0.2">
      <c r="A161" s="15">
        <v>39268.458333333343</v>
      </c>
      <c r="B161" t="b">
        <v>1</v>
      </c>
      <c r="C161">
        <v>9.9999999999909051E-3</v>
      </c>
      <c r="D161">
        <v>1.9999999999996021E-2</v>
      </c>
      <c r="E161">
        <v>2.5000000000005681E-2</v>
      </c>
      <c r="F161">
        <v>2.0000000000010228E-2</v>
      </c>
      <c r="G161">
        <v>7.5000000000002842E-3</v>
      </c>
      <c r="H161">
        <v>0</v>
      </c>
      <c r="I161">
        <v>1.8500000000000408E-2</v>
      </c>
      <c r="J161">
        <v>1.2500000000000179E-2</v>
      </c>
      <c r="Q161">
        <v>7.4682598990420956E-3</v>
      </c>
      <c r="R161">
        <v>-0.27349686264918921</v>
      </c>
      <c r="S161">
        <v>0.24293517153600419</v>
      </c>
      <c r="T161">
        <v>-1.0747675099423761E-2</v>
      </c>
      <c r="U161">
        <v>-6.0877139978401829E-2</v>
      </c>
      <c r="V161">
        <v>0</v>
      </c>
    </row>
    <row r="162" spans="1:22" x14ac:dyDescent="0.2">
      <c r="A162" s="15">
        <v>39296.458333333343</v>
      </c>
      <c r="B162" t="b">
        <v>1</v>
      </c>
      <c r="C162">
        <v>-9.9999999999909051E-3</v>
      </c>
      <c r="D162">
        <v>0</v>
      </c>
      <c r="E162">
        <v>0</v>
      </c>
      <c r="F162">
        <v>0</v>
      </c>
      <c r="G162">
        <v>-8.0000000000000071E-3</v>
      </c>
      <c r="H162">
        <v>-7.9999999999991189E-3</v>
      </c>
      <c r="I162">
        <v>-4.0000000000004476E-3</v>
      </c>
      <c r="J162">
        <v>-4.9999999999990052E-3</v>
      </c>
      <c r="Q162">
        <v>0.16652793190610279</v>
      </c>
      <c r="R162">
        <v>-1.484780997530777E-2</v>
      </c>
      <c r="S162">
        <v>6.8979111919162506E-2</v>
      </c>
      <c r="T162">
        <v>0.1203794554483011</v>
      </c>
      <c r="U162">
        <v>0.1167178367747965</v>
      </c>
      <c r="V162">
        <v>0.1587932052605083</v>
      </c>
    </row>
    <row r="163" spans="1:22" x14ac:dyDescent="0.2">
      <c r="A163" s="15">
        <v>39302.395833333343</v>
      </c>
      <c r="B163" t="b">
        <v>0</v>
      </c>
      <c r="C163">
        <v>0</v>
      </c>
      <c r="D163">
        <v>1.0000000000005119E-2</v>
      </c>
      <c r="E163">
        <v>1.0000000000005119E-2</v>
      </c>
      <c r="F163">
        <v>0</v>
      </c>
      <c r="G163">
        <v>1.4499999999999961E-2</v>
      </c>
      <c r="H163">
        <v>0</v>
      </c>
      <c r="I163">
        <v>1.150000000000073E-2</v>
      </c>
      <c r="J163">
        <v>1.7500000000000071E-2</v>
      </c>
      <c r="Q163">
        <v>0.31074860289811568</v>
      </c>
      <c r="R163">
        <v>-0.11780298814857559</v>
      </c>
      <c r="S163">
        <v>0.24183211864804829</v>
      </c>
      <c r="T163">
        <v>0.32795808614787347</v>
      </c>
      <c r="U163">
        <v>0.53716067673019552</v>
      </c>
      <c r="V163">
        <v>0.29023017943484319</v>
      </c>
    </row>
    <row r="164" spans="1:22" x14ac:dyDescent="0.2">
      <c r="A164" s="15">
        <v>39331.458333333343</v>
      </c>
      <c r="B164" t="b">
        <v>1</v>
      </c>
      <c r="C164">
        <v>0</v>
      </c>
      <c r="D164">
        <v>-1.9999999999996021E-2</v>
      </c>
      <c r="E164">
        <v>-4.9999999999982947E-2</v>
      </c>
      <c r="F164">
        <v>-6.0000000000002267E-2</v>
      </c>
      <c r="G164">
        <v>-1.2500000000000179E-2</v>
      </c>
      <c r="H164">
        <v>-1.000000000000156E-2</v>
      </c>
      <c r="I164">
        <v>-1.4499999999999961E-2</v>
      </c>
      <c r="J164">
        <v>-1.2500000000000179E-2</v>
      </c>
      <c r="Q164">
        <v>-0.33217968231178929</v>
      </c>
      <c r="R164">
        <v>0.2663905674794691</v>
      </c>
      <c r="S164">
        <v>-0.26965196622400361</v>
      </c>
      <c r="T164">
        <v>-0.33539671238156638</v>
      </c>
      <c r="U164">
        <v>-0.46052859480198549</v>
      </c>
      <c r="V164">
        <v>-0.32704915646058907</v>
      </c>
    </row>
    <row r="165" spans="1:22" x14ac:dyDescent="0.2">
      <c r="A165" s="15">
        <v>39359.458333333343</v>
      </c>
      <c r="B165" t="b">
        <v>1</v>
      </c>
      <c r="C165">
        <v>5.9999999999988063E-2</v>
      </c>
      <c r="D165">
        <v>3.000000000000114E-2</v>
      </c>
      <c r="E165">
        <v>1.999999999998181E-2</v>
      </c>
      <c r="F165">
        <v>1.0000000000005119E-2</v>
      </c>
      <c r="G165">
        <v>1.000000000000334E-3</v>
      </c>
      <c r="H165">
        <v>1.200000000000045E-2</v>
      </c>
      <c r="I165">
        <v>1.0999999999999229E-2</v>
      </c>
      <c r="J165">
        <v>5.0000000000007816E-3</v>
      </c>
      <c r="Q165">
        <v>-0.15839496447836149</v>
      </c>
      <c r="R165">
        <v>-0.23774370911398529</v>
      </c>
      <c r="S165">
        <v>0.1253641254117355</v>
      </c>
      <c r="T165">
        <v>-0.134159634524849</v>
      </c>
      <c r="U165">
        <v>-0.16268674086018109</v>
      </c>
      <c r="V165">
        <v>-0.1445339792296636</v>
      </c>
    </row>
    <row r="166" spans="1:22" x14ac:dyDescent="0.2">
      <c r="A166" s="15">
        <v>39394.5</v>
      </c>
      <c r="B166" t="b">
        <v>1</v>
      </c>
      <c r="C166">
        <v>4.9999999999997158E-2</v>
      </c>
      <c r="D166">
        <v>3.4999999999996589E-2</v>
      </c>
      <c r="E166">
        <v>3.000000000000114E-2</v>
      </c>
      <c r="F166">
        <v>9.9999999999909051E-3</v>
      </c>
      <c r="G166">
        <v>8.49999999999973E-3</v>
      </c>
      <c r="H166">
        <v>1.6000000000000011E-2</v>
      </c>
      <c r="I166">
        <v>4.9999999999998934E-3</v>
      </c>
      <c r="J166">
        <v>1.350000000000051E-2</v>
      </c>
      <c r="Q166">
        <v>0.19427289787404331</v>
      </c>
      <c r="R166">
        <v>-0.21537807162702899</v>
      </c>
      <c r="S166">
        <v>0.106892179732597</v>
      </c>
      <c r="T166">
        <v>0.225388145594593</v>
      </c>
      <c r="U166">
        <v>2.6059568727077931E-2</v>
      </c>
      <c r="V166">
        <v>0.21860321307872249</v>
      </c>
    </row>
    <row r="167" spans="1:22" x14ac:dyDescent="0.2">
      <c r="A167" s="15">
        <v>39400.4375</v>
      </c>
      <c r="B167" t="b">
        <v>0</v>
      </c>
      <c r="C167">
        <v>-6.0000000000002267E-2</v>
      </c>
      <c r="D167">
        <v>-0.12000000000000451</v>
      </c>
      <c r="E167">
        <v>-0.10999999999998521</v>
      </c>
      <c r="F167">
        <v>-0.1100000000000136</v>
      </c>
      <c r="G167">
        <v>-3.5499999999999858E-2</v>
      </c>
      <c r="H167">
        <v>-5.8999999999999282E-2</v>
      </c>
      <c r="I167">
        <v>-5.5999999999999162E-2</v>
      </c>
      <c r="J167">
        <v>-5.1499999999999879E-2</v>
      </c>
      <c r="Q167">
        <v>-0.3831941365218654</v>
      </c>
      <c r="R167">
        <v>0.77716937727142721</v>
      </c>
      <c r="S167">
        <v>-0.75184700397802828</v>
      </c>
      <c r="T167">
        <v>-0.38529156526476532</v>
      </c>
      <c r="U167">
        <v>-0.38777080655222562</v>
      </c>
      <c r="V167">
        <v>-0.41969190977852122</v>
      </c>
    </row>
    <row r="168" spans="1:22" x14ac:dyDescent="0.2">
      <c r="A168" s="15">
        <v>39422.5</v>
      </c>
      <c r="B168" t="b">
        <v>1</v>
      </c>
      <c r="C168">
        <v>4.9999999999982947E-2</v>
      </c>
      <c r="D168">
        <v>4.0000000000006253E-2</v>
      </c>
      <c r="E168">
        <v>4.0000000000006253E-2</v>
      </c>
      <c r="F168">
        <v>3.000000000000114E-2</v>
      </c>
      <c r="G168">
        <v>6.9999999999996732E-3</v>
      </c>
      <c r="H168">
        <v>1.799999999999979E-2</v>
      </c>
      <c r="I168">
        <v>1.6500000000000629E-2</v>
      </c>
      <c r="J168">
        <v>9.9999999999997868E-3</v>
      </c>
      <c r="Q168">
        <v>-0.46052337379990149</v>
      </c>
      <c r="R168">
        <v>0.24333449626357859</v>
      </c>
      <c r="S168">
        <v>-0.27683046993445259</v>
      </c>
      <c r="T168">
        <v>-0.44485758387554603</v>
      </c>
      <c r="U168">
        <v>-0.36438488058979601</v>
      </c>
      <c r="V168">
        <v>-0.47333391168945133</v>
      </c>
    </row>
    <row r="169" spans="1:22" x14ac:dyDescent="0.2">
      <c r="A169" s="15">
        <v>39457.5</v>
      </c>
      <c r="B169" t="b">
        <v>1</v>
      </c>
      <c r="C169">
        <v>6.0000000000002267E-2</v>
      </c>
      <c r="D169">
        <v>4.0000000000020457E-2</v>
      </c>
      <c r="E169">
        <v>2.0000000000010228E-2</v>
      </c>
      <c r="F169">
        <v>1.0000000000005119E-2</v>
      </c>
      <c r="G169">
        <v>1.399999999999935E-2</v>
      </c>
      <c r="H169">
        <v>2.249999999999908E-2</v>
      </c>
      <c r="I169">
        <v>2.7000000000000138E-2</v>
      </c>
      <c r="J169">
        <v>2.0000000000000458E-2</v>
      </c>
      <c r="Q169">
        <v>-0.26321052085302199</v>
      </c>
      <c r="R169">
        <v>-0.160449292343845</v>
      </c>
      <c r="S169">
        <v>0.1427079062814727</v>
      </c>
      <c r="T169">
        <v>-0.36444141794402191</v>
      </c>
      <c r="U169">
        <v>-1.018390951184188</v>
      </c>
      <c r="V169">
        <v>-0.28713649130770591</v>
      </c>
    </row>
    <row r="170" spans="1:22" x14ac:dyDescent="0.2">
      <c r="A170" s="15">
        <v>39485.5</v>
      </c>
      <c r="B170" t="b">
        <v>1</v>
      </c>
      <c r="C170">
        <v>6.9999999999993179E-2</v>
      </c>
      <c r="D170">
        <v>4.0000000000006253E-2</v>
      </c>
      <c r="E170">
        <v>3.000000000000114E-2</v>
      </c>
      <c r="F170">
        <v>2.0000000000010228E-2</v>
      </c>
      <c r="G170">
        <v>0</v>
      </c>
      <c r="H170">
        <v>4.5999999999999368E-2</v>
      </c>
      <c r="I170">
        <v>4.1500000000000092E-2</v>
      </c>
      <c r="J170">
        <v>3.8499999999999979E-2</v>
      </c>
      <c r="Q170">
        <v>-0.91727884420265582</v>
      </c>
      <c r="R170">
        <v>6.6706693154664265E-2</v>
      </c>
      <c r="S170">
        <v>-0.24873402143845169</v>
      </c>
      <c r="T170">
        <v>-0.85800655588604968</v>
      </c>
      <c r="U170">
        <v>-0.79912064363315949</v>
      </c>
      <c r="V170">
        <v>-0.89150049427610156</v>
      </c>
    </row>
    <row r="171" spans="1:22" x14ac:dyDescent="0.2">
      <c r="A171" s="15">
        <v>39491.4375</v>
      </c>
      <c r="B171" t="b">
        <v>0</v>
      </c>
      <c r="C171">
        <v>4.0000000000020457E-2</v>
      </c>
      <c r="D171">
        <v>4.9999999999997158E-2</v>
      </c>
      <c r="E171">
        <v>6.0000000000002267E-2</v>
      </c>
      <c r="F171">
        <v>7.9999999999984084E-2</v>
      </c>
      <c r="G171">
        <v>-2.0000000000006679E-3</v>
      </c>
      <c r="H171">
        <v>1.8000000000000679E-2</v>
      </c>
      <c r="I171">
        <v>2.3000000000000579E-2</v>
      </c>
      <c r="J171">
        <v>1.399999999999935E-2</v>
      </c>
      <c r="Q171">
        <v>-0.1243381299382236</v>
      </c>
      <c r="R171">
        <v>-0.11438954246680311</v>
      </c>
      <c r="S171">
        <v>0.14267154849324021</v>
      </c>
      <c r="T171">
        <v>-0.16374655697416071</v>
      </c>
      <c r="U171">
        <v>-0.45523675690139948</v>
      </c>
      <c r="V171">
        <v>-0.1229403382030796</v>
      </c>
    </row>
    <row r="172" spans="1:22" x14ac:dyDescent="0.2">
      <c r="A172" s="15">
        <v>39513.5</v>
      </c>
      <c r="B172" t="b">
        <v>1</v>
      </c>
      <c r="C172">
        <v>1.0000000000005119E-2</v>
      </c>
      <c r="D172">
        <v>0</v>
      </c>
      <c r="E172">
        <v>1.0000000000005119E-2</v>
      </c>
      <c r="F172">
        <v>-5.0000000000096634E-3</v>
      </c>
      <c r="G172">
        <v>1.2999999999999901E-2</v>
      </c>
      <c r="H172">
        <v>4.9999999999998934E-3</v>
      </c>
      <c r="I172">
        <v>1.499999999999613E-3</v>
      </c>
      <c r="J172">
        <v>7.5000000000002842E-3</v>
      </c>
      <c r="Q172">
        <v>-0.16284554702201601</v>
      </c>
      <c r="R172">
        <v>-0.20197420294060819</v>
      </c>
      <c r="S172">
        <v>0.18279023030510189</v>
      </c>
      <c r="T172">
        <v>-0.12993847288339569</v>
      </c>
      <c r="U172">
        <v>-7.7444725218356325E-2</v>
      </c>
      <c r="V172">
        <v>-0.1198527666797418</v>
      </c>
    </row>
    <row r="173" spans="1:22" x14ac:dyDescent="0.2">
      <c r="A173" s="15">
        <v>39548.458333333343</v>
      </c>
      <c r="B173" t="b">
        <v>1</v>
      </c>
      <c r="C173">
        <v>5.0000000000011369E-2</v>
      </c>
      <c r="D173">
        <v>2.2500000000007962E-2</v>
      </c>
      <c r="E173">
        <v>1.0000000000005119E-2</v>
      </c>
      <c r="F173">
        <v>-3.000000000000114E-2</v>
      </c>
      <c r="G173">
        <v>-1.999999999998892E-3</v>
      </c>
      <c r="H173">
        <v>-2.5000000000003908E-3</v>
      </c>
      <c r="I173">
        <v>-5.5000000000000604E-3</v>
      </c>
      <c r="J173">
        <v>-7.5000000000002842E-3</v>
      </c>
      <c r="Q173">
        <v>-7.9840323602297758E-2</v>
      </c>
      <c r="R173">
        <v>0.1184354197969988</v>
      </c>
      <c r="S173">
        <v>-9.5935377214019013E-2</v>
      </c>
      <c r="T173">
        <v>-9.8806563638618172E-2</v>
      </c>
      <c r="U173">
        <v>-0.18714538403651201</v>
      </c>
      <c r="V173">
        <v>-7.0752336093846679E-2</v>
      </c>
    </row>
    <row r="174" spans="1:22" x14ac:dyDescent="0.2">
      <c r="A174" s="15">
        <v>39576.458333333343</v>
      </c>
      <c r="B174" t="b">
        <v>1</v>
      </c>
      <c r="C174">
        <v>3.000000000000114E-2</v>
      </c>
      <c r="D174">
        <v>1.0000000000005119E-2</v>
      </c>
      <c r="E174">
        <v>0</v>
      </c>
      <c r="F174">
        <v>-7.4999999999931788E-3</v>
      </c>
      <c r="G174">
        <v>4.5000000000001714E-3</v>
      </c>
      <c r="H174">
        <v>0</v>
      </c>
      <c r="I174">
        <v>1.5000000000000571E-3</v>
      </c>
      <c r="J174">
        <v>7.9999999999991189E-3</v>
      </c>
      <c r="Q174">
        <v>-2.3972192371729761E-2</v>
      </c>
      <c r="R174">
        <v>3.187657417575096E-2</v>
      </c>
      <c r="S174">
        <v>-5.8750656248804489E-2</v>
      </c>
      <c r="T174">
        <v>-1.6627685762500729E-2</v>
      </c>
      <c r="U174">
        <v>4.6723848606688989E-2</v>
      </c>
      <c r="V174">
        <v>-3.6776169456857133E-2</v>
      </c>
    </row>
    <row r="175" spans="1:22" x14ac:dyDescent="0.2">
      <c r="A175" s="15">
        <v>39582.395833333343</v>
      </c>
      <c r="B175" t="b">
        <v>0</v>
      </c>
      <c r="C175">
        <v>4.9999999999954534E-3</v>
      </c>
      <c r="D175">
        <v>1.500000000000057E-2</v>
      </c>
      <c r="E175">
        <v>3.4999999999996589E-2</v>
      </c>
      <c r="F175">
        <v>3.9999999999992042E-2</v>
      </c>
      <c r="G175">
        <v>-2.5000000000003908E-3</v>
      </c>
      <c r="H175">
        <v>-3.0000000000001141E-3</v>
      </c>
      <c r="I175">
        <v>-2.9999999999992259E-3</v>
      </c>
      <c r="J175">
        <v>-1.9999999999997802E-3</v>
      </c>
      <c r="Q175">
        <v>-0.1205206637928313</v>
      </c>
      <c r="R175">
        <v>0.15096241387551501</v>
      </c>
      <c r="S175">
        <v>-9.7900304096569357E-2</v>
      </c>
      <c r="T175">
        <v>-0.1748177583299366</v>
      </c>
      <c r="U175">
        <v>-0.53506961675225284</v>
      </c>
      <c r="V175">
        <v>-0.1239047861856761</v>
      </c>
    </row>
    <row r="176" spans="1:22" x14ac:dyDescent="0.2">
      <c r="A176" s="15">
        <v>39604.458333333343</v>
      </c>
      <c r="B176" t="b">
        <v>1</v>
      </c>
      <c r="C176">
        <v>4.9999999999954534E-3</v>
      </c>
      <c r="D176">
        <v>4.9999999999954534E-3</v>
      </c>
      <c r="E176">
        <v>0</v>
      </c>
      <c r="F176">
        <v>0</v>
      </c>
      <c r="G176">
        <v>5.0000000000061107E-4</v>
      </c>
      <c r="H176">
        <v>0</v>
      </c>
      <c r="I176">
        <v>4.9999999999972289E-4</v>
      </c>
      <c r="J176">
        <v>3.0000000000001141E-3</v>
      </c>
      <c r="Q176">
        <v>0.12560185867266679</v>
      </c>
      <c r="R176">
        <v>-5.061049010413754E-2</v>
      </c>
      <c r="S176">
        <v>8.4690308022302929E-2</v>
      </c>
      <c r="T176">
        <v>0.1023654403629735</v>
      </c>
      <c r="U176">
        <v>0.2085046566244273</v>
      </c>
      <c r="V176">
        <v>8.5556837603007807E-2</v>
      </c>
    </row>
    <row r="177" spans="1:22" x14ac:dyDescent="0.2">
      <c r="A177" s="15">
        <v>39639.458333333343</v>
      </c>
      <c r="B177" t="b">
        <v>1</v>
      </c>
      <c r="C177">
        <v>1.500000000000057E-2</v>
      </c>
      <c r="D177">
        <v>2.5000000000005681E-2</v>
      </c>
      <c r="E177">
        <v>3.000000000000114E-2</v>
      </c>
      <c r="F177">
        <v>2.499999999999147E-2</v>
      </c>
      <c r="G177">
        <v>2.4499999999999741E-2</v>
      </c>
      <c r="H177">
        <v>1.550000000000118E-2</v>
      </c>
      <c r="I177">
        <v>2.1000000000000799E-2</v>
      </c>
      <c r="J177">
        <v>2.5000000000000359E-2</v>
      </c>
      <c r="Q177">
        <v>0.34316338496341808</v>
      </c>
      <c r="R177">
        <v>6.2851576023952296E-3</v>
      </c>
      <c r="S177">
        <v>-7.5954174351124948E-3</v>
      </c>
      <c r="T177">
        <v>0.27832095343740088</v>
      </c>
      <c r="U177">
        <v>0.3950478553559833</v>
      </c>
      <c r="V177">
        <v>0.33758402851697161</v>
      </c>
    </row>
    <row r="178" spans="1:22" x14ac:dyDescent="0.2">
      <c r="A178" s="15">
        <v>39667.458333333343</v>
      </c>
      <c r="B178" t="b">
        <v>1</v>
      </c>
      <c r="C178">
        <v>-2.5000000000005681E-2</v>
      </c>
      <c r="D178">
        <v>-3.4999999999996589E-2</v>
      </c>
      <c r="E178">
        <v>-3.7499999999994323E-2</v>
      </c>
      <c r="F178">
        <v>-3.000000000000114E-2</v>
      </c>
      <c r="G178">
        <v>-9.0000000000003411E-3</v>
      </c>
      <c r="H178">
        <v>-1.049999999999951E-2</v>
      </c>
      <c r="I178">
        <v>-1.7500000000000071E-2</v>
      </c>
      <c r="J178">
        <v>-9.4999999999991758E-3</v>
      </c>
      <c r="Q178">
        <v>-0.10884354816039379</v>
      </c>
      <c r="R178">
        <v>-3.1546736751735693E-2</v>
      </c>
      <c r="S178">
        <v>8.4529776162469261E-2</v>
      </c>
      <c r="T178">
        <v>-0.10855903248761931</v>
      </c>
      <c r="U178">
        <v>6.2757016807609034E-2</v>
      </c>
      <c r="V178">
        <v>-0.1289350327984948</v>
      </c>
    </row>
    <row r="179" spans="1:22" x14ac:dyDescent="0.2">
      <c r="A179" s="15">
        <v>39673.395833333343</v>
      </c>
      <c r="B179" t="b">
        <v>0</v>
      </c>
      <c r="C179">
        <v>-8.4999999999993747E-2</v>
      </c>
      <c r="D179">
        <v>-0.1899999999999977</v>
      </c>
      <c r="E179">
        <v>-0.23999999999999491</v>
      </c>
      <c r="F179">
        <v>-0.24250000000000679</v>
      </c>
      <c r="G179">
        <v>-7.299999999999951E-2</v>
      </c>
      <c r="H179">
        <v>-0.14749999999999999</v>
      </c>
      <c r="I179">
        <v>-0.14799999999999969</v>
      </c>
      <c r="J179">
        <v>-0.1350000000000007</v>
      </c>
      <c r="Q179">
        <v>8.1729027433539159E-2</v>
      </c>
      <c r="R179">
        <v>0.81115780634569745</v>
      </c>
      <c r="S179">
        <v>-1.1780258268152011</v>
      </c>
      <c r="T179">
        <v>6.426850172124432E-2</v>
      </c>
      <c r="U179">
        <v>-8.1655321114567414E-2</v>
      </c>
      <c r="V179">
        <v>7.8196750636038814E-2</v>
      </c>
    </row>
    <row r="180" spans="1:22" x14ac:dyDescent="0.2">
      <c r="A180" s="15">
        <v>39695.458333333343</v>
      </c>
      <c r="B180" t="b">
        <v>1</v>
      </c>
      <c r="C180">
        <v>1.0000000000005119E-2</v>
      </c>
      <c r="D180">
        <v>1.9999999999996021E-2</v>
      </c>
      <c r="E180">
        <v>1.4999999999986359E-2</v>
      </c>
      <c r="F180">
        <v>5.0000000000096634E-3</v>
      </c>
      <c r="G180">
        <v>-8.0000000000008953E-3</v>
      </c>
      <c r="H180">
        <v>-3.4500000000000419E-2</v>
      </c>
      <c r="I180">
        <v>-2.4999999999995031E-3</v>
      </c>
      <c r="J180">
        <v>-6.9999999999996732E-3</v>
      </c>
      <c r="Q180">
        <v>-7.2339274336627568E-2</v>
      </c>
      <c r="R180">
        <v>-0.1599016330863918</v>
      </c>
      <c r="S180">
        <v>6.4629436742066559E-2</v>
      </c>
      <c r="T180">
        <v>-0.11355693438440539</v>
      </c>
      <c r="U180">
        <v>-0.12724076414497179</v>
      </c>
      <c r="V180">
        <v>-0.10867400681922849</v>
      </c>
    </row>
    <row r="181" spans="1:22" x14ac:dyDescent="0.2">
      <c r="A181" s="15">
        <v>39729.458333333343</v>
      </c>
      <c r="B181" t="b">
        <v>1</v>
      </c>
      <c r="C181">
        <v>0.10999999999998521</v>
      </c>
      <c r="D181">
        <v>0</v>
      </c>
      <c r="E181">
        <v>7.5000000000073896E-3</v>
      </c>
      <c r="F181">
        <v>1.250000000000284E-2</v>
      </c>
      <c r="G181">
        <v>3.0499999999999972E-2</v>
      </c>
      <c r="H181">
        <v>1.199999999999957E-2</v>
      </c>
      <c r="I181">
        <v>-5.0000000000003384E-3</v>
      </c>
      <c r="J181">
        <v>4.0499999999999758E-2</v>
      </c>
      <c r="Q181">
        <v>1.95098651045987</v>
      </c>
      <c r="R181">
        <v>0.30092541196532002</v>
      </c>
      <c r="S181">
        <v>0.42859657585778171</v>
      </c>
      <c r="T181">
        <v>1.845290066367397</v>
      </c>
      <c r="U181">
        <v>2.421046520464984</v>
      </c>
      <c r="V181">
        <v>1.852538599835384</v>
      </c>
    </row>
    <row r="182" spans="1:22" x14ac:dyDescent="0.2">
      <c r="A182" s="15">
        <v>39758.5</v>
      </c>
      <c r="B182" t="b">
        <v>1</v>
      </c>
      <c r="C182">
        <v>-0.40000000000000568</v>
      </c>
      <c r="D182">
        <v>-0.44499999999999318</v>
      </c>
      <c r="E182">
        <v>-0.33499999999999369</v>
      </c>
      <c r="F182">
        <v>-0.23249999999998749</v>
      </c>
      <c r="G182">
        <v>-4.9500000000000099E-2</v>
      </c>
      <c r="H182">
        <v>-0.17499999999999979</v>
      </c>
      <c r="I182">
        <v>-0.13750000000000021</v>
      </c>
      <c r="J182">
        <v>-0.1244999999999994</v>
      </c>
      <c r="Q182">
        <v>1.751736768390401</v>
      </c>
      <c r="R182">
        <v>-0.72988509836655524</v>
      </c>
      <c r="S182">
        <v>0.50524969793929131</v>
      </c>
      <c r="T182">
        <v>1.556416278299253</v>
      </c>
      <c r="U182">
        <v>2.5069125605467661</v>
      </c>
      <c r="V182">
        <v>1.8253517485411519</v>
      </c>
    </row>
    <row r="183" spans="1:22" x14ac:dyDescent="0.2">
      <c r="A183" s="15">
        <v>39764.4375</v>
      </c>
      <c r="B183" t="b">
        <v>0</v>
      </c>
      <c r="C183">
        <v>-0.1099999999999994</v>
      </c>
      <c r="D183">
        <v>-0.1050000000000182</v>
      </c>
      <c r="E183">
        <v>-0.13499999999999091</v>
      </c>
      <c r="F183">
        <v>-0.1450000000000102</v>
      </c>
      <c r="G183">
        <v>-2.199999999999935E-2</v>
      </c>
      <c r="H183">
        <v>-9.8500000000000476E-2</v>
      </c>
      <c r="I183">
        <v>-8.9499999999999691E-2</v>
      </c>
      <c r="J183">
        <v>-6.4999999999999947E-2</v>
      </c>
      <c r="Q183">
        <v>1.6396689885350499</v>
      </c>
      <c r="R183">
        <v>0.81189592274707323</v>
      </c>
      <c r="S183">
        <v>-0.68284182664851301</v>
      </c>
      <c r="T183">
        <v>1.557856161678046</v>
      </c>
      <c r="U183">
        <v>1.029743305322995</v>
      </c>
      <c r="V183">
        <v>1.671456454306508</v>
      </c>
    </row>
    <row r="184" spans="1:22" x14ac:dyDescent="0.2">
      <c r="A184" s="15">
        <v>39786.5</v>
      </c>
      <c r="B184" t="b">
        <v>1</v>
      </c>
      <c r="C184">
        <v>0.21500000000000341</v>
      </c>
      <c r="D184">
        <v>0.18000000000000679</v>
      </c>
      <c r="E184">
        <v>0.14249999999999829</v>
      </c>
      <c r="F184">
        <v>0.125</v>
      </c>
      <c r="G184">
        <v>6.2999999999999723E-2</v>
      </c>
      <c r="H184">
        <v>0.1399999999999999</v>
      </c>
      <c r="I184">
        <v>0.1199999999999999</v>
      </c>
      <c r="J184">
        <v>0.1145000000000005</v>
      </c>
      <c r="Q184">
        <v>-0.38049986454268492</v>
      </c>
      <c r="R184">
        <v>-0.31188658757625731</v>
      </c>
      <c r="S184">
        <v>0.42163058434005052</v>
      </c>
      <c r="T184">
        <v>-0.4044805023814888</v>
      </c>
      <c r="U184">
        <v>-0.34129986619632291</v>
      </c>
      <c r="V184">
        <v>-0.4666721985854565</v>
      </c>
    </row>
    <row r="185" spans="1:22" x14ac:dyDescent="0.2">
      <c r="A185" s="15">
        <v>39821.5</v>
      </c>
      <c r="B185" t="b">
        <v>1</v>
      </c>
      <c r="C185">
        <v>3.4999999999996589E-2</v>
      </c>
      <c r="D185">
        <v>5.5000000000006821E-2</v>
      </c>
      <c r="E185">
        <v>6.4999999999997726E-2</v>
      </c>
      <c r="F185">
        <v>4.5000000000015923E-2</v>
      </c>
      <c r="G185">
        <v>4.9999999999998934E-3</v>
      </c>
      <c r="H185">
        <v>1.6999999999999901E-2</v>
      </c>
      <c r="I185">
        <v>1.049999999999995E-2</v>
      </c>
      <c r="J185">
        <v>-8.0000000000004512E-3</v>
      </c>
      <c r="K185">
        <v>5.7500000000000107E-2</v>
      </c>
      <c r="L185">
        <v>4.6999999999999931E-2</v>
      </c>
      <c r="M185">
        <v>3.8999999999999917E-2</v>
      </c>
      <c r="N185">
        <v>1.3000000000000121E-2</v>
      </c>
      <c r="O185">
        <v>3.9000000000000028E-2</v>
      </c>
      <c r="Q185">
        <v>-0.36703505446485002</v>
      </c>
      <c r="R185">
        <v>-1.099801734524259</v>
      </c>
      <c r="S185">
        <v>1.0525544669956941</v>
      </c>
      <c r="T185">
        <v>-0.31769743325673971</v>
      </c>
      <c r="U185">
        <v>-0.22198568238411551</v>
      </c>
      <c r="V185">
        <v>-0.36048523913052583</v>
      </c>
    </row>
    <row r="186" spans="1:22" x14ac:dyDescent="0.2">
      <c r="A186" s="15">
        <v>39849.5</v>
      </c>
      <c r="B186" t="b">
        <v>1</v>
      </c>
      <c r="C186">
        <v>2.499999999999147E-2</v>
      </c>
      <c r="D186">
        <v>4.0000000000006253E-2</v>
      </c>
      <c r="E186">
        <v>4.0000000000006253E-2</v>
      </c>
      <c r="F186">
        <v>4.7500000000013642E-2</v>
      </c>
      <c r="G186">
        <v>1.000000000000334E-3</v>
      </c>
      <c r="H186">
        <v>3.4499999999999982E-2</v>
      </c>
      <c r="I186">
        <v>5.0000000000000273E-2</v>
      </c>
      <c r="J186">
        <v>2.0999999999999911E-2</v>
      </c>
      <c r="K186">
        <v>-4.500000000000004E-2</v>
      </c>
      <c r="L186">
        <v>-7.0000000000000062E-3</v>
      </c>
      <c r="M186">
        <v>-4.2000000000000037E-2</v>
      </c>
      <c r="N186">
        <v>5.4999999999999938E-2</v>
      </c>
      <c r="O186">
        <v>-3.400000000000003E-2</v>
      </c>
      <c r="Q186">
        <v>-0.55580600276778114</v>
      </c>
      <c r="R186">
        <v>-0.88280806493003183</v>
      </c>
      <c r="S186">
        <v>0.78318619614586282</v>
      </c>
      <c r="T186">
        <v>-0.4546615299707355</v>
      </c>
      <c r="U186">
        <v>-0.52292252415691109</v>
      </c>
      <c r="V186">
        <v>-0.49273758469973927</v>
      </c>
    </row>
    <row r="187" spans="1:22" x14ac:dyDescent="0.2">
      <c r="A187" s="15">
        <v>39855.4375</v>
      </c>
      <c r="B187" t="b">
        <v>0</v>
      </c>
      <c r="C187">
        <v>-6.0000000000002267E-2</v>
      </c>
      <c r="D187">
        <v>-0.11999999999999029</v>
      </c>
      <c r="E187">
        <v>-0.14499999999998181</v>
      </c>
      <c r="F187">
        <v>-0.14499999999999599</v>
      </c>
      <c r="G187">
        <v>-0.13499999999999979</v>
      </c>
      <c r="H187">
        <v>-0.21899999999999989</v>
      </c>
      <c r="I187">
        <v>-0.2215</v>
      </c>
      <c r="J187">
        <v>-0.16699999999999979</v>
      </c>
      <c r="K187">
        <v>-1.8999999999999909E-2</v>
      </c>
      <c r="L187">
        <v>-0.13800000000000001</v>
      </c>
      <c r="M187">
        <v>-7.8999999999999959E-2</v>
      </c>
      <c r="N187">
        <v>-0.1545</v>
      </c>
      <c r="O187">
        <v>-6.9999999999999951E-2</v>
      </c>
      <c r="Q187">
        <v>0.47230530508988983</v>
      </c>
      <c r="R187">
        <v>0.78755957658055031</v>
      </c>
      <c r="S187">
        <v>-0.91962618724175371</v>
      </c>
      <c r="T187">
        <v>0.48872989873495948</v>
      </c>
      <c r="U187">
        <v>0.66899418033256097</v>
      </c>
      <c r="V187">
        <v>0.46141365475284601</v>
      </c>
    </row>
    <row r="188" spans="1:22" x14ac:dyDescent="0.2">
      <c r="A188" s="15">
        <v>39877.5</v>
      </c>
      <c r="B188" t="b">
        <v>1</v>
      </c>
      <c r="C188">
        <v>4.9999999999982947E-2</v>
      </c>
      <c r="D188">
        <v>4.9999999999997158E-2</v>
      </c>
      <c r="E188">
        <v>5.0000000000011369E-2</v>
      </c>
      <c r="F188">
        <v>4.9999999999982947E-2</v>
      </c>
      <c r="G188">
        <v>-0.13200000000000009</v>
      </c>
      <c r="H188">
        <v>2.8999999999999911E-2</v>
      </c>
      <c r="I188">
        <v>3.9499999999999869E-2</v>
      </c>
      <c r="J188">
        <v>-4.7000000000000597E-2</v>
      </c>
      <c r="K188">
        <v>0</v>
      </c>
      <c r="L188">
        <v>7.0999999999999952E-2</v>
      </c>
      <c r="M188">
        <v>5.799999999999994E-2</v>
      </c>
      <c r="N188">
        <v>7.5999999999999956E-2</v>
      </c>
      <c r="O188">
        <v>8.4999999999999964E-2</v>
      </c>
      <c r="Q188">
        <v>5.6461290228753569E-2</v>
      </c>
      <c r="R188">
        <v>0.2467475455600141</v>
      </c>
      <c r="S188">
        <v>-0.28057482934832478</v>
      </c>
      <c r="T188">
        <v>8.6894202097482776E-2</v>
      </c>
      <c r="U188">
        <v>0.47016803574331328</v>
      </c>
      <c r="V188">
        <v>1.687170474610866E-3</v>
      </c>
    </row>
    <row r="189" spans="1:22" x14ac:dyDescent="0.2">
      <c r="A189" s="15">
        <v>39912.458333333343</v>
      </c>
      <c r="B189" t="b">
        <v>1</v>
      </c>
      <c r="C189">
        <v>1.000000000001933E-2</v>
      </c>
      <c r="D189">
        <v>9.9999999999909051E-3</v>
      </c>
      <c r="E189">
        <v>1.500000000000057E-2</v>
      </c>
      <c r="F189">
        <v>1.000000000001933E-2</v>
      </c>
      <c r="G189">
        <v>1.2000000000000011E-2</v>
      </c>
      <c r="H189">
        <v>2.5000000000000019E-2</v>
      </c>
      <c r="I189">
        <v>1.5499999999999851E-2</v>
      </c>
      <c r="J189">
        <v>2.2499999999999961E-2</v>
      </c>
      <c r="K189">
        <v>1.0000000000000011E-3</v>
      </c>
      <c r="L189">
        <v>1.2999999999999901E-2</v>
      </c>
      <c r="M189">
        <v>3.0000000000000031E-3</v>
      </c>
      <c r="N189">
        <v>1.1000000000000121E-2</v>
      </c>
      <c r="O189">
        <v>4.0000000000000044E-3</v>
      </c>
      <c r="Q189">
        <v>8.364701449659151E-2</v>
      </c>
      <c r="R189">
        <v>-5.5262358058989491E-3</v>
      </c>
      <c r="S189">
        <v>-0.1738982622189198</v>
      </c>
      <c r="T189">
        <v>0.12648837147003181</v>
      </c>
      <c r="U189">
        <v>0.28925115768527121</v>
      </c>
      <c r="V189">
        <v>9.8936504319453888E-2</v>
      </c>
    </row>
    <row r="190" spans="1:22" x14ac:dyDescent="0.2">
      <c r="A190" s="15">
        <v>39940.458333333343</v>
      </c>
      <c r="B190" t="b">
        <v>1</v>
      </c>
      <c r="C190">
        <v>0</v>
      </c>
      <c r="D190">
        <v>1.5000000000014779E-2</v>
      </c>
      <c r="E190">
        <v>9.9999999999909051E-3</v>
      </c>
      <c r="F190">
        <v>2.0000000000010228E-2</v>
      </c>
      <c r="G190">
        <v>-8.8000000000000078E-2</v>
      </c>
      <c r="H190">
        <v>-3.2999999999999918E-2</v>
      </c>
      <c r="I190">
        <v>-4.5500000000000103E-2</v>
      </c>
      <c r="J190">
        <v>-9.7000000000000419E-2</v>
      </c>
      <c r="K190">
        <v>7.0000000000000062E-3</v>
      </c>
      <c r="L190">
        <v>-4.9999999999994493E-4</v>
      </c>
      <c r="M190">
        <v>-1.9999999999998912E-3</v>
      </c>
      <c r="N190">
        <v>8.8750000000001883E-3</v>
      </c>
      <c r="O190">
        <v>1.0000000000000011E-3</v>
      </c>
      <c r="Q190">
        <v>-6.143020883985173E-2</v>
      </c>
      <c r="R190">
        <v>0.44834217151614381</v>
      </c>
      <c r="S190">
        <v>-0.52596009506924446</v>
      </c>
      <c r="T190">
        <v>-9.4533540426027685E-2</v>
      </c>
      <c r="U190">
        <v>-0.23971085713537829</v>
      </c>
      <c r="V190">
        <v>-7.992451998973138E-2</v>
      </c>
    </row>
    <row r="191" spans="1:22" x14ac:dyDescent="0.2">
      <c r="A191" s="15">
        <v>39946.395833333343</v>
      </c>
      <c r="B191" t="b">
        <v>0</v>
      </c>
      <c r="C191">
        <v>-3.000000000000114E-2</v>
      </c>
      <c r="D191">
        <v>-4.9999999999997158E-2</v>
      </c>
      <c r="E191">
        <v>-7.9999999999998295E-2</v>
      </c>
      <c r="F191">
        <v>-0.10999999999998521</v>
      </c>
      <c r="G191">
        <v>-5.3999999999999382E-2</v>
      </c>
      <c r="H191">
        <v>-6.4000000000000057E-2</v>
      </c>
      <c r="I191">
        <v>-5.600000000000005E-2</v>
      </c>
      <c r="J191">
        <v>-7.0000000000000284E-2</v>
      </c>
      <c r="K191">
        <v>1.0000000000000011E-3</v>
      </c>
      <c r="L191">
        <v>-3.400000000000003E-2</v>
      </c>
      <c r="M191">
        <v>-3.0000000000000031E-3</v>
      </c>
      <c r="N191">
        <v>-7.8749999999999876E-2</v>
      </c>
      <c r="O191">
        <v>-6.0000000000000053E-3</v>
      </c>
      <c r="Q191">
        <v>-0.36989656629793899</v>
      </c>
      <c r="R191">
        <v>0.64667412335576735</v>
      </c>
      <c r="S191">
        <v>-0.89939880855880006</v>
      </c>
      <c r="T191">
        <v>-0.43148047630245401</v>
      </c>
      <c r="U191">
        <v>-0.64790976135338951</v>
      </c>
      <c r="V191">
        <v>-0.40947371517779629</v>
      </c>
    </row>
    <row r="192" spans="1:22" x14ac:dyDescent="0.2">
      <c r="A192" s="15">
        <v>39968.458333333343</v>
      </c>
      <c r="B192" t="b">
        <v>1</v>
      </c>
      <c r="C192">
        <v>-4.9999999999954534E-3</v>
      </c>
      <c r="D192">
        <v>0</v>
      </c>
      <c r="E192">
        <v>0</v>
      </c>
      <c r="F192">
        <v>-5.0000000000096634E-3</v>
      </c>
      <c r="G192">
        <v>1.5000000000000119E-2</v>
      </c>
      <c r="H192">
        <v>9.5000000000000639E-3</v>
      </c>
      <c r="I192">
        <v>5.4999999999998384E-3</v>
      </c>
      <c r="J192">
        <v>1.5000000000000119E-2</v>
      </c>
      <c r="K192">
        <v>0</v>
      </c>
      <c r="L192">
        <v>-2.4999999999997252E-4</v>
      </c>
      <c r="M192">
        <v>-9.9999999999994538E-4</v>
      </c>
      <c r="N192">
        <v>-8.499999999999952E-3</v>
      </c>
      <c r="O192">
        <v>-1.9999999999999458E-3</v>
      </c>
      <c r="Q192">
        <v>-0.29676999295020318</v>
      </c>
      <c r="R192">
        <v>-0.13296721138152989</v>
      </c>
      <c r="S192">
        <v>-5.4993738210406207E-2</v>
      </c>
      <c r="T192">
        <v>-0.26147072014111927</v>
      </c>
      <c r="U192">
        <v>-0.1819677896887697</v>
      </c>
      <c r="V192">
        <v>-0.27130866517745739</v>
      </c>
    </row>
    <row r="193" spans="1:22" x14ac:dyDescent="0.2">
      <c r="A193" s="15">
        <v>40003.458333333343</v>
      </c>
      <c r="B193" t="b">
        <v>1</v>
      </c>
      <c r="C193">
        <v>9.9999999999909051E-3</v>
      </c>
      <c r="D193">
        <v>-9.9999999999909051E-3</v>
      </c>
      <c r="E193">
        <v>-9.9999999999909051E-3</v>
      </c>
      <c r="F193">
        <v>4.9999999999954534E-3</v>
      </c>
      <c r="G193">
        <v>0.1199999999999997</v>
      </c>
      <c r="H193">
        <v>0.10600000000000009</v>
      </c>
      <c r="I193">
        <v>2.0499999999999741E-2</v>
      </c>
      <c r="J193">
        <v>0.105</v>
      </c>
      <c r="K193">
        <v>-4.4999999999999476E-3</v>
      </c>
      <c r="L193">
        <v>-6.5000000000000058E-2</v>
      </c>
      <c r="M193">
        <v>-1.499999999999946E-3</v>
      </c>
      <c r="N193">
        <v>-1.2500000000000179E-2</v>
      </c>
      <c r="O193">
        <v>6.5000000000000058E-3</v>
      </c>
      <c r="Q193">
        <v>-1.2100677652824739E-2</v>
      </c>
      <c r="R193">
        <v>-0.29007388211126012</v>
      </c>
      <c r="S193">
        <v>0.23456076925159411</v>
      </c>
      <c r="T193">
        <v>-9.3918319237218384E-4</v>
      </c>
      <c r="U193">
        <v>-1.8315888533493311E-2</v>
      </c>
      <c r="V193">
        <v>-1.7758408893200791E-2</v>
      </c>
    </row>
    <row r="194" spans="1:22" x14ac:dyDescent="0.2">
      <c r="A194" s="15">
        <v>40031.458333333343</v>
      </c>
      <c r="B194" t="b">
        <v>1</v>
      </c>
      <c r="C194">
        <v>-3.9999999999992042E-2</v>
      </c>
      <c r="D194">
        <v>-0.15000000000000571</v>
      </c>
      <c r="E194">
        <v>-0.20999999999997951</v>
      </c>
      <c r="F194">
        <v>-0.25</v>
      </c>
      <c r="G194">
        <v>-0.18999999999999989</v>
      </c>
      <c r="H194">
        <v>-0.1679999999999999</v>
      </c>
      <c r="I194">
        <v>-0.14249999999999979</v>
      </c>
      <c r="J194">
        <v>-0.19700000000000009</v>
      </c>
      <c r="L194">
        <v>-0.12315</v>
      </c>
      <c r="M194">
        <v>-1.100000000000007E-2</v>
      </c>
      <c r="N194">
        <v>-0.1679999999999999</v>
      </c>
      <c r="O194">
        <v>-1.9500000000000021E-2</v>
      </c>
      <c r="Q194">
        <v>0.4760003639205479</v>
      </c>
      <c r="R194">
        <v>0.72325602667387301</v>
      </c>
      <c r="S194">
        <v>-0.73637381939780511</v>
      </c>
      <c r="T194">
        <v>0.45967729028222948</v>
      </c>
      <c r="U194">
        <v>0.27103561462899961</v>
      </c>
      <c r="V194">
        <v>0.48653085554326481</v>
      </c>
    </row>
    <row r="195" spans="1:22" x14ac:dyDescent="0.2">
      <c r="A195" s="15">
        <v>40037.395833333343</v>
      </c>
      <c r="B195" t="b">
        <v>0</v>
      </c>
      <c r="C195">
        <v>-1.9999999999996021E-2</v>
      </c>
      <c r="D195">
        <v>-3.9999999999992042E-2</v>
      </c>
      <c r="E195">
        <v>-5.9999999999988063E-2</v>
      </c>
      <c r="F195">
        <v>-6.9999999999993179E-2</v>
      </c>
      <c r="G195">
        <v>-1.2000000000000011E-2</v>
      </c>
      <c r="H195">
        <v>-5.7500000000000002E-2</v>
      </c>
      <c r="I195">
        <v>-6.7499999999999893E-2</v>
      </c>
      <c r="J195">
        <v>-1.8500000000000408E-2</v>
      </c>
      <c r="L195">
        <v>-3.6000000000000032E-2</v>
      </c>
      <c r="M195">
        <v>-1.9999999999998912E-3</v>
      </c>
      <c r="N195">
        <v>-6.3749999999999973E-2</v>
      </c>
      <c r="O195">
        <v>-6.0000000000000608E-3</v>
      </c>
      <c r="Q195">
        <v>0.57266874907782039</v>
      </c>
      <c r="R195">
        <v>0.21524776337633969</v>
      </c>
      <c r="S195">
        <v>-8.2060638295381239E-2</v>
      </c>
      <c r="T195">
        <v>0.52518064340858928</v>
      </c>
      <c r="U195">
        <v>0.32845198465429348</v>
      </c>
      <c r="V195">
        <v>0.55810841135473765</v>
      </c>
    </row>
    <row r="196" spans="1:22" x14ac:dyDescent="0.2">
      <c r="A196" s="15">
        <v>40066.458333333343</v>
      </c>
      <c r="B196" t="b">
        <v>1</v>
      </c>
      <c r="C196">
        <v>3.9999999999992042E-2</v>
      </c>
      <c r="D196">
        <v>3.000000000000114E-2</v>
      </c>
      <c r="E196">
        <v>1.9999999999996021E-2</v>
      </c>
      <c r="F196">
        <v>2.0000000000010228E-2</v>
      </c>
      <c r="G196">
        <v>-1.2000000000000011E-2</v>
      </c>
      <c r="H196">
        <v>-1.6000000000000011E-2</v>
      </c>
      <c r="I196">
        <v>6.5000000000000613E-3</v>
      </c>
      <c r="J196">
        <v>1.9999999999997802E-3</v>
      </c>
      <c r="K196">
        <v>-1.0000000000000011E-3</v>
      </c>
      <c r="L196">
        <v>2.4000000000000021E-2</v>
      </c>
      <c r="M196">
        <v>1.4500000000000009E-2</v>
      </c>
      <c r="N196">
        <v>4.0999999999999932E-2</v>
      </c>
      <c r="O196">
        <v>1.100000000000001E-2</v>
      </c>
      <c r="Q196">
        <v>0.1157029079954555</v>
      </c>
      <c r="R196">
        <v>-0.29575723981730562</v>
      </c>
      <c r="S196">
        <v>0.26003884996714532</v>
      </c>
      <c r="T196">
        <v>8.9820768574782051E-3</v>
      </c>
      <c r="U196">
        <v>-0.2458734908832412</v>
      </c>
      <c r="V196">
        <v>8.0495858809854326E-2</v>
      </c>
    </row>
    <row r="197" spans="1:22" x14ac:dyDescent="0.2">
      <c r="A197" s="15">
        <v>40094.458333333343</v>
      </c>
      <c r="B197" t="b">
        <v>1</v>
      </c>
      <c r="C197">
        <v>0</v>
      </c>
      <c r="D197">
        <v>0</v>
      </c>
      <c r="E197">
        <v>0</v>
      </c>
      <c r="F197">
        <v>1.0000000000005119E-2</v>
      </c>
      <c r="G197">
        <v>1.6999999999999901E-2</v>
      </c>
      <c r="H197">
        <v>-1.9999999999999458E-3</v>
      </c>
      <c r="I197">
        <v>-2.050000000000007E-2</v>
      </c>
      <c r="J197">
        <v>9.9999999999997868E-3</v>
      </c>
      <c r="K197">
        <v>0</v>
      </c>
      <c r="L197">
        <v>2.0000000000000022E-3</v>
      </c>
      <c r="M197">
        <v>1.0000000000000011E-2</v>
      </c>
      <c r="N197">
        <v>3.300000000000014E-2</v>
      </c>
      <c r="O197">
        <v>0</v>
      </c>
      <c r="Q197">
        <v>0</v>
      </c>
      <c r="R197">
        <v>0.1033479381605495</v>
      </c>
      <c r="S197">
        <v>-0.17431911029003541</v>
      </c>
      <c r="T197">
        <v>5.6710667857942099E-3</v>
      </c>
      <c r="U197">
        <v>6.3474764501620484E-2</v>
      </c>
      <c r="V197">
        <v>-1.070083671845623E-2</v>
      </c>
    </row>
    <row r="198" spans="1:22" x14ac:dyDescent="0.2">
      <c r="A198" s="15">
        <v>40122.5</v>
      </c>
      <c r="B198" t="b">
        <v>1</v>
      </c>
      <c r="C198">
        <v>6.0000000000002267E-2</v>
      </c>
      <c r="D198">
        <v>6.0000000000002267E-2</v>
      </c>
      <c r="E198">
        <v>7.5000000000017053E-2</v>
      </c>
      <c r="F198">
        <v>9.0000000000003411E-2</v>
      </c>
      <c r="G198">
        <v>9.2000000000000082E-2</v>
      </c>
      <c r="H198">
        <v>5.2000000000000053E-2</v>
      </c>
      <c r="I198">
        <v>6.7500000000000115E-2</v>
      </c>
      <c r="J198">
        <v>8.599999999999941E-2</v>
      </c>
      <c r="L198">
        <v>6.4000000000000057E-2</v>
      </c>
      <c r="M198">
        <v>2.4000000000000021E-2</v>
      </c>
      <c r="N198">
        <v>8.8500000000000023E-2</v>
      </c>
      <c r="O198">
        <v>4.4000000000000039E-2</v>
      </c>
      <c r="Q198">
        <v>5.9262187521312633E-2</v>
      </c>
      <c r="R198">
        <v>-0.50200908639983055</v>
      </c>
      <c r="S198">
        <v>0.50412918263835849</v>
      </c>
      <c r="T198">
        <v>8.3013709715032746E-2</v>
      </c>
      <c r="U198">
        <v>4.1160687203841917E-2</v>
      </c>
      <c r="V198">
        <v>9.1132679141992412E-2</v>
      </c>
    </row>
    <row r="199" spans="1:22" x14ac:dyDescent="0.2">
      <c r="A199" s="15">
        <v>40128.4375</v>
      </c>
      <c r="B199" t="b">
        <v>0</v>
      </c>
      <c r="C199">
        <v>-5.0000000000096634E-3</v>
      </c>
      <c r="D199">
        <v>-3.9999999999992042E-2</v>
      </c>
      <c r="E199">
        <v>-9.0000000000003411E-2</v>
      </c>
      <c r="F199">
        <v>-0.10999999999998521</v>
      </c>
      <c r="G199">
        <v>-4.0000000000000042E-2</v>
      </c>
      <c r="H199">
        <v>-6.2E-2</v>
      </c>
      <c r="I199">
        <v>-5.899999999999983E-2</v>
      </c>
      <c r="J199">
        <v>-4.9999999999999822E-2</v>
      </c>
      <c r="L199">
        <v>-5.1100000000000152E-2</v>
      </c>
      <c r="M199">
        <v>9.9999999999994538E-4</v>
      </c>
      <c r="N199">
        <v>-6.449999999999978E-2</v>
      </c>
      <c r="O199">
        <v>3.999999999999948E-3</v>
      </c>
      <c r="Q199">
        <v>5.6837021375713448E-2</v>
      </c>
      <c r="R199">
        <v>0.52248465256091414</v>
      </c>
      <c r="S199">
        <v>-0.53261645958180281</v>
      </c>
      <c r="T199">
        <v>6.3982013251802528E-2</v>
      </c>
      <c r="U199">
        <v>-3.36429023002438E-3</v>
      </c>
      <c r="V199">
        <v>7.4487899161113091E-2</v>
      </c>
    </row>
    <row r="200" spans="1:22" x14ac:dyDescent="0.2">
      <c r="A200" s="15">
        <v>40157.5</v>
      </c>
      <c r="B200" t="b">
        <v>1</v>
      </c>
      <c r="C200">
        <v>4.9999999999954534E-3</v>
      </c>
      <c r="D200">
        <v>0</v>
      </c>
      <c r="E200">
        <v>9.9999999999909051E-3</v>
      </c>
      <c r="F200">
        <v>9.9999999999909051E-3</v>
      </c>
      <c r="G200">
        <v>3.9000000000000153E-2</v>
      </c>
      <c r="H200">
        <v>3.1999999999999917E-2</v>
      </c>
      <c r="I200">
        <v>3.499999999999992E-2</v>
      </c>
      <c r="J200">
        <v>2.9999999999999801E-2</v>
      </c>
      <c r="K200">
        <v>1.515E-2</v>
      </c>
      <c r="L200">
        <v>-1.160000000000005E-2</v>
      </c>
      <c r="M200">
        <v>-2.5999999999999912E-3</v>
      </c>
      <c r="N200">
        <v>1.4000000000000011E-2</v>
      </c>
      <c r="O200">
        <v>-2.0000000000000022E-3</v>
      </c>
      <c r="Q200">
        <v>0.1240576549984098</v>
      </c>
      <c r="R200">
        <v>3.318217041838345E-2</v>
      </c>
      <c r="S200">
        <v>-0.11656800608269439</v>
      </c>
      <c r="T200">
        <v>0.13559578059891919</v>
      </c>
      <c r="U200">
        <v>0.24616801752881659</v>
      </c>
      <c r="V200">
        <v>0.12674829374554969</v>
      </c>
    </row>
    <row r="201" spans="1:22" x14ac:dyDescent="0.2">
      <c r="A201" s="15">
        <v>40185.5</v>
      </c>
      <c r="B201" t="b">
        <v>1</v>
      </c>
      <c r="C201">
        <v>0</v>
      </c>
      <c r="D201">
        <v>0</v>
      </c>
      <c r="E201">
        <v>9.9999999999909051E-3</v>
      </c>
      <c r="F201">
        <v>1.999999999998181E-2</v>
      </c>
      <c r="G201">
        <v>1.499999999999968E-2</v>
      </c>
      <c r="H201">
        <v>1.7999999999999901E-2</v>
      </c>
      <c r="I201">
        <v>1.4999999999999901E-2</v>
      </c>
      <c r="J201">
        <v>1.54999999999994E-2</v>
      </c>
      <c r="L201">
        <v>1.450000000000007E-2</v>
      </c>
      <c r="N201">
        <v>1.2000000000000011E-2</v>
      </c>
      <c r="O201">
        <v>-2.9999999999999472E-3</v>
      </c>
      <c r="Q201">
        <v>2.2824275998800658E-2</v>
      </c>
      <c r="R201">
        <v>-8.8785311864183925E-2</v>
      </c>
      <c r="S201">
        <v>6.9130218942135002E-2</v>
      </c>
      <c r="T201">
        <v>2.4482279741960159E-2</v>
      </c>
      <c r="U201">
        <v>8.8255458319395075E-2</v>
      </c>
      <c r="V201">
        <v>2.0291619630597779E-2</v>
      </c>
    </row>
    <row r="202" spans="1:22" x14ac:dyDescent="0.2">
      <c r="A202" s="15">
        <v>40213.5</v>
      </c>
      <c r="B202" t="b">
        <v>1</v>
      </c>
      <c r="C202">
        <v>1.999999999998181E-2</v>
      </c>
      <c r="D202">
        <v>9.9999999999909051E-3</v>
      </c>
      <c r="E202">
        <v>1.9999999999996021E-2</v>
      </c>
      <c r="F202">
        <v>9.9999999999909051E-3</v>
      </c>
      <c r="G202">
        <v>7.4000000000000288E-2</v>
      </c>
      <c r="H202">
        <v>5.3999999999999937E-2</v>
      </c>
      <c r="I202">
        <v>6.2000000000000277E-2</v>
      </c>
      <c r="J202">
        <v>6.1499999999999673E-2</v>
      </c>
      <c r="K202">
        <v>-6.0000000000000053E-3</v>
      </c>
      <c r="L202">
        <v>1.4000000000000011E-2</v>
      </c>
      <c r="M202">
        <v>1.0000000000000011E-3</v>
      </c>
      <c r="N202">
        <v>1.7499999999999849E-2</v>
      </c>
      <c r="O202">
        <v>7.0000000000000062E-3</v>
      </c>
      <c r="Q202">
        <v>0.1255796146488137</v>
      </c>
      <c r="R202">
        <v>-0.28609048522761432</v>
      </c>
      <c r="S202">
        <v>0.27773412203430331</v>
      </c>
      <c r="T202">
        <v>8.8187381468173953E-2</v>
      </c>
      <c r="U202">
        <v>-7.265984012417448E-2</v>
      </c>
      <c r="V202">
        <v>0.1296469795111079</v>
      </c>
    </row>
    <row r="203" spans="1:22" x14ac:dyDescent="0.2">
      <c r="A203" s="15">
        <v>40219.4375</v>
      </c>
      <c r="B203" t="b">
        <v>0</v>
      </c>
      <c r="C203">
        <v>-9.9999999999909051E-3</v>
      </c>
      <c r="D203">
        <v>-4.9999999999997158E-2</v>
      </c>
      <c r="E203">
        <v>-0.1000000000000085</v>
      </c>
      <c r="F203">
        <v>-0.1499999999999915</v>
      </c>
      <c r="G203">
        <v>-9.6000000000000529E-2</v>
      </c>
      <c r="H203">
        <v>-0.11849999999999999</v>
      </c>
      <c r="I203">
        <v>-0.13649999999999979</v>
      </c>
      <c r="J203">
        <v>-0.1084999999999998</v>
      </c>
      <c r="K203">
        <v>-1.0000000000000011E-3</v>
      </c>
      <c r="L203">
        <v>-4.9499999999999988E-2</v>
      </c>
      <c r="M203">
        <v>-6.9999999999999507E-3</v>
      </c>
      <c r="N203">
        <v>-0.13225000000000001</v>
      </c>
      <c r="O203">
        <v>-8.9999999999999525E-3</v>
      </c>
      <c r="Q203">
        <v>0.1216693178444075</v>
      </c>
      <c r="R203">
        <v>0.60357773490213162</v>
      </c>
      <c r="S203">
        <v>-0.56035041078101955</v>
      </c>
      <c r="T203">
        <v>0.15956565238082021</v>
      </c>
      <c r="U203">
        <v>0.32182223110635277</v>
      </c>
      <c r="V203">
        <v>0.1638277967333579</v>
      </c>
    </row>
    <row r="204" spans="1:22" x14ac:dyDescent="0.2">
      <c r="A204" s="15">
        <v>40241.5</v>
      </c>
      <c r="B204" t="b">
        <v>1</v>
      </c>
      <c r="C204">
        <v>0</v>
      </c>
      <c r="D204">
        <v>0</v>
      </c>
      <c r="E204">
        <v>0</v>
      </c>
      <c r="F204">
        <v>1.0000000000005119E-2</v>
      </c>
      <c r="G204">
        <v>-3.9999999999995586E-3</v>
      </c>
      <c r="H204">
        <v>1.0000000000000011E-2</v>
      </c>
      <c r="I204">
        <v>-1.3000000000000121E-2</v>
      </c>
      <c r="J204">
        <v>-5.0000000000003384E-3</v>
      </c>
      <c r="L204">
        <v>2.9999999999998921E-3</v>
      </c>
      <c r="M204">
        <v>0</v>
      </c>
      <c r="N204">
        <v>6.0000000000002274E-3</v>
      </c>
      <c r="O204">
        <v>2.0000000000000022E-3</v>
      </c>
      <c r="Q204">
        <v>-0.258146471564487</v>
      </c>
      <c r="R204">
        <v>-0.2096783861516158</v>
      </c>
      <c r="S204">
        <v>0.12251048665702061</v>
      </c>
      <c r="T204">
        <v>-0.22398882697905259</v>
      </c>
      <c r="U204">
        <v>-2.7935151168776429E-2</v>
      </c>
      <c r="V204">
        <v>-0.26820375694239829</v>
      </c>
    </row>
    <row r="205" spans="1:22" x14ac:dyDescent="0.2">
      <c r="A205" s="15">
        <v>40276.458333333343</v>
      </c>
      <c r="B205" t="b">
        <v>1</v>
      </c>
      <c r="C205">
        <v>0</v>
      </c>
      <c r="D205">
        <v>-9.9999999999909051E-3</v>
      </c>
      <c r="E205">
        <v>-1.000000000001933E-2</v>
      </c>
      <c r="F205">
        <v>-1.000000000001933E-2</v>
      </c>
      <c r="G205">
        <v>-4.4999999999992824E-3</v>
      </c>
      <c r="H205">
        <v>-1.0000000000000011E-3</v>
      </c>
      <c r="I205">
        <v>0</v>
      </c>
      <c r="J205">
        <v>-4.9999999999972289E-4</v>
      </c>
      <c r="K205">
        <v>2.4999999999999471E-3</v>
      </c>
      <c r="L205">
        <v>-4.0000000000000044E-3</v>
      </c>
      <c r="M205">
        <v>0</v>
      </c>
      <c r="N205">
        <v>-8.499999999999952E-3</v>
      </c>
      <c r="O205">
        <v>1.0000000000000011E-3</v>
      </c>
      <c r="Q205">
        <v>-5.3041019631109521E-2</v>
      </c>
      <c r="R205">
        <v>-2.857714419470625E-2</v>
      </c>
      <c r="S205">
        <v>2.2997191158736999E-2</v>
      </c>
      <c r="T205">
        <v>-5.8080740693071682E-2</v>
      </c>
      <c r="U205">
        <v>-1.535349987977952E-2</v>
      </c>
      <c r="V205">
        <v>-6.4542609130512574E-2</v>
      </c>
    </row>
    <row r="206" spans="1:22" x14ac:dyDescent="0.2">
      <c r="A206" s="15">
        <v>40308.458333333343</v>
      </c>
      <c r="B206" t="b">
        <v>1</v>
      </c>
      <c r="C206">
        <v>-9.9999999999909051E-3</v>
      </c>
      <c r="D206">
        <v>-3.000000000000114E-2</v>
      </c>
      <c r="E206">
        <v>-3.000000000000114E-2</v>
      </c>
      <c r="F206">
        <v>-3.50000000000108E-2</v>
      </c>
      <c r="G206">
        <v>2.5999999999999801E-2</v>
      </c>
      <c r="H206">
        <v>7.0000000000000062E-3</v>
      </c>
      <c r="I206">
        <v>2.449999999999997E-2</v>
      </c>
      <c r="J206">
        <v>2.0500000000000181E-2</v>
      </c>
      <c r="L206">
        <v>-8.5749999999999993E-2</v>
      </c>
      <c r="M206">
        <v>-4.0000000000000044E-3</v>
      </c>
      <c r="N206">
        <v>-1.7750000000000151E-2</v>
      </c>
      <c r="O206">
        <v>2.0000000000000022E-3</v>
      </c>
      <c r="Q206">
        <v>0.30274120139222299</v>
      </c>
      <c r="R206">
        <v>-0.2366045481552668</v>
      </c>
      <c r="S206">
        <v>0.18325092172270979</v>
      </c>
      <c r="T206">
        <v>0.31001293718065881</v>
      </c>
      <c r="U206">
        <v>0.190161534000822</v>
      </c>
      <c r="V206">
        <v>0.32372219370518002</v>
      </c>
    </row>
    <row r="207" spans="1:22" x14ac:dyDescent="0.2">
      <c r="A207" s="15">
        <v>40310.395833333343</v>
      </c>
      <c r="B207" t="b">
        <v>0</v>
      </c>
      <c r="C207">
        <v>-1.0000000000005119E-2</v>
      </c>
      <c r="D207">
        <v>-2.9999999999986929E-2</v>
      </c>
      <c r="E207">
        <v>-6.9999999999993179E-2</v>
      </c>
      <c r="F207">
        <v>-8.0000000000012506E-2</v>
      </c>
      <c r="G207">
        <v>-1.2500000000000179E-2</v>
      </c>
      <c r="H207">
        <v>-2.4000000000000021E-2</v>
      </c>
      <c r="I207">
        <v>-4.049999999999998E-2</v>
      </c>
      <c r="J207">
        <v>-3.0499999999999531E-2</v>
      </c>
      <c r="L207">
        <v>-8.0000000000000071E-3</v>
      </c>
      <c r="M207">
        <v>-1.0000000000000011E-3</v>
      </c>
      <c r="N207">
        <v>-5.0249999999999913E-2</v>
      </c>
      <c r="O207">
        <v>1.0000000000000011E-3</v>
      </c>
      <c r="Q207">
        <v>0</v>
      </c>
      <c r="R207">
        <v>0.33038378134668278</v>
      </c>
      <c r="S207">
        <v>-0.40765920057387461</v>
      </c>
      <c r="T207">
        <v>-2.324905561181367E-2</v>
      </c>
      <c r="U207">
        <v>-0.15955724275045211</v>
      </c>
      <c r="V207">
        <v>-2.6650601391679629E-2</v>
      </c>
    </row>
    <row r="208" spans="1:22" x14ac:dyDescent="0.2">
      <c r="A208" s="15">
        <v>40339.458333333343</v>
      </c>
      <c r="B208" t="b">
        <v>1</v>
      </c>
      <c r="C208">
        <v>0</v>
      </c>
      <c r="D208">
        <v>0</v>
      </c>
      <c r="E208">
        <v>-9.9999999999909051E-3</v>
      </c>
      <c r="F208">
        <v>-9.9999999999909051E-3</v>
      </c>
      <c r="G208">
        <v>-6.9999999999996732E-3</v>
      </c>
      <c r="H208">
        <v>-5.0000000000000036E-3</v>
      </c>
      <c r="I208">
        <v>-2.0499999999999959E-2</v>
      </c>
      <c r="J208">
        <v>-3.499999999999837E-3</v>
      </c>
      <c r="L208">
        <v>-2.5000000000008349E-4</v>
      </c>
      <c r="N208">
        <v>-6.0000000000000053E-3</v>
      </c>
      <c r="O208">
        <v>-1.0000000000000011E-3</v>
      </c>
      <c r="Q208">
        <v>-5.3936111533516851E-2</v>
      </c>
      <c r="R208">
        <v>-6.6737451286360994E-2</v>
      </c>
      <c r="S208">
        <v>-0.12656714023043489</v>
      </c>
      <c r="T208">
        <v>-1.25498905852055E-2</v>
      </c>
      <c r="U208">
        <v>6.0425561430633927E-2</v>
      </c>
      <c r="V208">
        <v>-3.2949640303627348E-2</v>
      </c>
    </row>
    <row r="209" spans="1:22" x14ac:dyDescent="0.2">
      <c r="A209" s="15">
        <v>40367.458333333343</v>
      </c>
      <c r="B209" t="b">
        <v>1</v>
      </c>
      <c r="C209">
        <v>0</v>
      </c>
      <c r="D209">
        <v>0</v>
      </c>
      <c r="E209">
        <v>0</v>
      </c>
      <c r="F209">
        <v>0</v>
      </c>
      <c r="G209">
        <v>2.4999999999995031E-3</v>
      </c>
      <c r="H209">
        <v>4.0000000000000044E-3</v>
      </c>
      <c r="I209">
        <v>2.0000000000002238E-3</v>
      </c>
      <c r="J209">
        <v>4.0000000000000044E-3</v>
      </c>
      <c r="K209">
        <v>0</v>
      </c>
      <c r="L209">
        <v>0</v>
      </c>
      <c r="M209">
        <v>-1.0000000000000011E-3</v>
      </c>
      <c r="N209">
        <v>5.0000000000000036E-3</v>
      </c>
      <c r="O209">
        <v>-1.0000000000000011E-3</v>
      </c>
      <c r="Q209">
        <v>-7.9290355509442634E-2</v>
      </c>
      <c r="R209">
        <v>-7.7767479168336706E-2</v>
      </c>
      <c r="S209">
        <v>0.1156203158053586</v>
      </c>
      <c r="T209">
        <v>-5.1799263780594629E-2</v>
      </c>
      <c r="U209">
        <v>-0.1205167183361482</v>
      </c>
      <c r="V209">
        <v>-7.0096819175319069E-2</v>
      </c>
    </row>
    <row r="210" spans="1:22" x14ac:dyDescent="0.2">
      <c r="A210" s="15">
        <v>40395.458333333343</v>
      </c>
      <c r="B210" t="b">
        <v>1</v>
      </c>
      <c r="C210">
        <v>0</v>
      </c>
      <c r="D210">
        <v>0</v>
      </c>
      <c r="E210">
        <v>0</v>
      </c>
      <c r="F210">
        <v>0</v>
      </c>
      <c r="G210">
        <v>5.0000000000003384E-3</v>
      </c>
      <c r="H210">
        <v>-4.1500000000000092E-2</v>
      </c>
      <c r="I210">
        <v>6.5000000000000613E-3</v>
      </c>
      <c r="J210">
        <v>3.9999999999995586E-3</v>
      </c>
      <c r="L210">
        <v>-1.9499999999999958E-2</v>
      </c>
      <c r="N210">
        <v>-5.0000000000005596E-4</v>
      </c>
      <c r="O210">
        <v>0</v>
      </c>
      <c r="Q210">
        <v>-6.4889921164649422E-2</v>
      </c>
      <c r="R210">
        <v>-0.19256234136518199</v>
      </c>
      <c r="S210">
        <v>0.1006131196336213</v>
      </c>
      <c r="T210">
        <v>-4.9798924440892733E-2</v>
      </c>
      <c r="U210">
        <v>6.7182651553594042E-2</v>
      </c>
      <c r="V210">
        <v>-6.8573353530268832E-2</v>
      </c>
    </row>
    <row r="211" spans="1:22" x14ac:dyDescent="0.2">
      <c r="A211" s="15">
        <v>40401.395833333343</v>
      </c>
      <c r="B211" t="b">
        <v>0</v>
      </c>
      <c r="C211">
        <v>-1.0000000000005119E-2</v>
      </c>
      <c r="D211">
        <v>-2.9999999999986929E-2</v>
      </c>
      <c r="E211">
        <v>-5.0000000000011369E-2</v>
      </c>
      <c r="F211">
        <v>-4.9999999999997158E-2</v>
      </c>
      <c r="G211">
        <v>-3.4499999999999531E-2</v>
      </c>
      <c r="H211">
        <v>-3.300000000000014E-2</v>
      </c>
      <c r="I211">
        <v>-3.4499999999999982E-2</v>
      </c>
      <c r="J211">
        <v>-4.9500000000000099E-2</v>
      </c>
      <c r="L211">
        <v>-3.5499999999999858E-2</v>
      </c>
      <c r="N211">
        <v>-4.2000000000000037E-2</v>
      </c>
      <c r="Q211">
        <v>-0.46776526973712862</v>
      </c>
      <c r="R211">
        <v>0.16276339609177631</v>
      </c>
      <c r="S211">
        <v>-0.54371288616577829</v>
      </c>
      <c r="T211">
        <v>-0.46170547177905519</v>
      </c>
      <c r="U211">
        <v>-0.47213568548261259</v>
      </c>
      <c r="V211">
        <v>-0.45400567071249037</v>
      </c>
    </row>
    <row r="212" spans="1:22" x14ac:dyDescent="0.2">
      <c r="A212" s="15">
        <v>40430.458333333343</v>
      </c>
      <c r="B212" t="b">
        <v>1</v>
      </c>
      <c r="C212">
        <v>0</v>
      </c>
      <c r="D212">
        <v>0</v>
      </c>
      <c r="E212">
        <v>-1.000000000001933E-2</v>
      </c>
      <c r="F212">
        <v>0</v>
      </c>
      <c r="G212">
        <v>1.5499999999999851E-2</v>
      </c>
      <c r="H212">
        <v>1.8999999999999909E-2</v>
      </c>
      <c r="I212">
        <v>1.100000000000001E-2</v>
      </c>
      <c r="J212">
        <v>1.4000000000000011E-2</v>
      </c>
      <c r="K212">
        <v>0</v>
      </c>
      <c r="L212">
        <v>4.5000000000001714E-3</v>
      </c>
      <c r="M212">
        <v>-1.0000000000000011E-3</v>
      </c>
      <c r="N212">
        <v>4.9999999999998934E-3</v>
      </c>
      <c r="Q212">
        <v>2.7399762706636469E-2</v>
      </c>
      <c r="R212">
        <v>5.450086427937606E-2</v>
      </c>
      <c r="S212">
        <v>6.4913988987527196E-3</v>
      </c>
      <c r="T212">
        <v>4.4268081134987369E-2</v>
      </c>
      <c r="U212">
        <v>9.017637532997469E-2</v>
      </c>
      <c r="V212">
        <v>3.1966535876108537E-2</v>
      </c>
    </row>
    <row r="213" spans="1:22" x14ac:dyDescent="0.2">
      <c r="A213" s="15">
        <v>40458.458333333343</v>
      </c>
      <c r="B213" t="b">
        <v>1</v>
      </c>
      <c r="C213">
        <v>0</v>
      </c>
      <c r="D213">
        <v>0</v>
      </c>
      <c r="E213">
        <v>0</v>
      </c>
      <c r="F213">
        <v>0</v>
      </c>
      <c r="G213">
        <v>1.2500000000000179E-2</v>
      </c>
      <c r="H213">
        <v>1.2000000000000011E-2</v>
      </c>
      <c r="I213">
        <v>1.1499999999999949E-2</v>
      </c>
      <c r="J213">
        <v>1.2000000000000229E-2</v>
      </c>
      <c r="K213">
        <v>0</v>
      </c>
      <c r="L213">
        <v>0</v>
      </c>
      <c r="N213">
        <v>1.500000000000001E-2</v>
      </c>
      <c r="Q213">
        <v>-6.1796514877414672E-2</v>
      </c>
      <c r="R213">
        <v>-0.32566804958341139</v>
      </c>
      <c r="S213">
        <v>0.46323911440575222</v>
      </c>
      <c r="T213">
        <v>-3.5735861316766197E-2</v>
      </c>
      <c r="U213">
        <v>0.11725404624098699</v>
      </c>
      <c r="V213">
        <v>-5.2063729994415553E-2</v>
      </c>
    </row>
    <row r="214" spans="1:22" x14ac:dyDescent="0.2">
      <c r="A214" s="15">
        <v>40486.5</v>
      </c>
      <c r="B214" t="b">
        <v>1</v>
      </c>
      <c r="C214">
        <v>0</v>
      </c>
      <c r="D214">
        <v>1.0000000000005119E-2</v>
      </c>
      <c r="E214">
        <v>0</v>
      </c>
      <c r="F214">
        <v>1.0000000000005119E-2</v>
      </c>
      <c r="G214">
        <v>1.049999999999951E-2</v>
      </c>
      <c r="H214">
        <v>1.200000000000012E-2</v>
      </c>
      <c r="I214">
        <v>5.5000000000000604E-3</v>
      </c>
      <c r="J214">
        <v>9.000000000000119E-3</v>
      </c>
      <c r="K214">
        <v>0</v>
      </c>
      <c r="L214">
        <v>8.499999999999952E-3</v>
      </c>
      <c r="M214">
        <v>0</v>
      </c>
      <c r="N214">
        <v>1.199999999999979E-2</v>
      </c>
      <c r="O214">
        <v>0</v>
      </c>
      <c r="Q214">
        <v>9.851162591303364E-2</v>
      </c>
      <c r="R214">
        <v>-0.35291475609182932</v>
      </c>
      <c r="S214">
        <v>0.49993932050963252</v>
      </c>
      <c r="T214">
        <v>5.5999484545054663E-2</v>
      </c>
      <c r="U214">
        <v>9.2565871572105607E-3</v>
      </c>
      <c r="V214">
        <v>8.4474484838551689E-2</v>
      </c>
    </row>
    <row r="215" spans="1:22" x14ac:dyDescent="0.2">
      <c r="A215" s="15">
        <v>40492.4375</v>
      </c>
      <c r="B215" t="b">
        <v>0</v>
      </c>
      <c r="C215">
        <v>0</v>
      </c>
      <c r="D215">
        <v>9.9999999999909051E-3</v>
      </c>
      <c r="E215">
        <v>3.9999999999992042E-2</v>
      </c>
      <c r="F215">
        <v>6.9999999999993179E-2</v>
      </c>
      <c r="G215">
        <v>9.4999999999999751E-2</v>
      </c>
      <c r="H215">
        <v>3.1499999999999972E-2</v>
      </c>
      <c r="I215">
        <v>4.3999999999999928E-2</v>
      </c>
      <c r="J215">
        <v>0.1000000000000001</v>
      </c>
      <c r="L215">
        <v>1.4000000000000011E-2</v>
      </c>
      <c r="M215">
        <v>0</v>
      </c>
      <c r="N215">
        <v>7.2000000000000064E-2</v>
      </c>
      <c r="O215">
        <v>1.0000000000000011E-3</v>
      </c>
      <c r="Q215">
        <v>-0.21386722724651011</v>
      </c>
      <c r="R215">
        <v>-0.6335941212105709</v>
      </c>
      <c r="S215">
        <v>0.46775687132191018</v>
      </c>
      <c r="T215">
        <v>-0.20142059546185459</v>
      </c>
      <c r="U215">
        <v>-0.140942570983384</v>
      </c>
      <c r="V215">
        <v>-0.21625397249158601</v>
      </c>
    </row>
    <row r="216" spans="1:22" x14ac:dyDescent="0.2">
      <c r="A216" s="15">
        <v>40521.5</v>
      </c>
      <c r="B216" t="b">
        <v>1</v>
      </c>
      <c r="C216">
        <v>0</v>
      </c>
      <c r="D216">
        <v>0</v>
      </c>
      <c r="E216">
        <v>-9.9999999999909051E-3</v>
      </c>
      <c r="F216">
        <v>-1.000000000001933E-2</v>
      </c>
      <c r="G216">
        <v>0</v>
      </c>
      <c r="H216">
        <v>-2.0000000000000022E-3</v>
      </c>
      <c r="I216">
        <v>-5.0000000000003384E-3</v>
      </c>
      <c r="J216">
        <v>-4.0000000000000044E-3</v>
      </c>
      <c r="K216">
        <v>0</v>
      </c>
      <c r="L216">
        <v>0</v>
      </c>
      <c r="M216">
        <v>0</v>
      </c>
      <c r="N216">
        <v>-5.0000000000000036E-3</v>
      </c>
      <c r="O216">
        <v>0</v>
      </c>
      <c r="Q216">
        <v>3.8700522940075643E-2</v>
      </c>
      <c r="R216">
        <v>-3.5761116127932979E-2</v>
      </c>
      <c r="S216">
        <v>2.2211292947218911E-2</v>
      </c>
      <c r="T216">
        <v>5.6458991689396498E-3</v>
      </c>
      <c r="U216">
        <v>-0.1084883574727655</v>
      </c>
      <c r="V216">
        <v>3.6474248208946847E-2</v>
      </c>
    </row>
    <row r="217" spans="1:22" x14ac:dyDescent="0.2">
      <c r="A217" s="15">
        <v>40556.5</v>
      </c>
      <c r="B217" t="b">
        <v>1</v>
      </c>
      <c r="C217">
        <v>-9.9999999999909051E-3</v>
      </c>
      <c r="D217">
        <v>0</v>
      </c>
      <c r="E217">
        <v>0</v>
      </c>
      <c r="F217">
        <v>1.0000000000005119E-2</v>
      </c>
      <c r="G217">
        <v>1.149999999999984E-2</v>
      </c>
      <c r="H217">
        <v>4.5000000000000604E-3</v>
      </c>
      <c r="I217">
        <v>1.149999999999984E-2</v>
      </c>
      <c r="J217">
        <v>1.1000000000000121E-2</v>
      </c>
      <c r="K217">
        <v>-6.0000000000000053E-3</v>
      </c>
      <c r="L217">
        <v>-2.2500000000000848E-3</v>
      </c>
      <c r="M217">
        <v>-4.0000000000000044E-3</v>
      </c>
      <c r="N217">
        <v>-4.4999999999997256E-3</v>
      </c>
      <c r="O217">
        <v>-6.0000000000000053E-3</v>
      </c>
      <c r="Q217">
        <v>7.9191418122036339E-2</v>
      </c>
      <c r="R217">
        <v>1.798076063462872E-2</v>
      </c>
      <c r="S217">
        <v>0.1965384516499</v>
      </c>
      <c r="T217">
        <v>7.0580986624463549E-2</v>
      </c>
      <c r="U217">
        <v>8.7182553347020075E-2</v>
      </c>
      <c r="V217">
        <v>7.6020882074885776E-2</v>
      </c>
    </row>
    <row r="218" spans="1:22" x14ac:dyDescent="0.2">
      <c r="A218" s="15">
        <v>40584.5</v>
      </c>
      <c r="B218" t="b">
        <v>1</v>
      </c>
      <c r="C218">
        <v>-1.999999999998181E-2</v>
      </c>
      <c r="D218">
        <v>0</v>
      </c>
      <c r="E218">
        <v>1.999999999998181E-2</v>
      </c>
      <c r="F218">
        <v>3.000000000000114E-2</v>
      </c>
      <c r="G218">
        <v>2.0999999999999911E-2</v>
      </c>
      <c r="H218">
        <v>1.8000000000000019E-2</v>
      </c>
      <c r="I218">
        <v>1.550000000000029E-2</v>
      </c>
      <c r="J218">
        <v>2.1999999999999801E-2</v>
      </c>
      <c r="K218">
        <v>-3.0499999999999972E-2</v>
      </c>
      <c r="L218">
        <v>-2.600000000000002E-2</v>
      </c>
      <c r="M218">
        <v>-3.5999999999999921E-2</v>
      </c>
      <c r="N218">
        <v>9.5000000000000639E-3</v>
      </c>
      <c r="O218">
        <v>-4.049999999999998E-2</v>
      </c>
      <c r="Q218">
        <v>-2.0909566202590209E-2</v>
      </c>
      <c r="R218">
        <v>-9.4228511094630818E-2</v>
      </c>
      <c r="S218">
        <v>6.2293654291245559E-2</v>
      </c>
      <c r="T218">
        <v>-8.9360914727649288E-2</v>
      </c>
      <c r="U218">
        <v>-0.14149437688649871</v>
      </c>
      <c r="V218">
        <v>-6.1863803228561658E-2</v>
      </c>
    </row>
    <row r="219" spans="1:22" x14ac:dyDescent="0.2">
      <c r="A219" s="15">
        <v>40590.4375</v>
      </c>
      <c r="B219" t="b">
        <v>0</v>
      </c>
      <c r="C219">
        <v>-3.000000000000114E-2</v>
      </c>
      <c r="D219">
        <v>-2.5000000000005681E-2</v>
      </c>
      <c r="E219">
        <v>-3.4999999999996589E-2</v>
      </c>
      <c r="F219">
        <v>-4.4999999999987488E-2</v>
      </c>
      <c r="G219">
        <v>-3.1499999999999861E-2</v>
      </c>
      <c r="H219">
        <v>-4.7999999999999932E-2</v>
      </c>
      <c r="I219">
        <v>-4.9500000000000099E-2</v>
      </c>
      <c r="J219">
        <v>-4.4000000000000039E-2</v>
      </c>
      <c r="L219">
        <v>-3.499999999999992E-2</v>
      </c>
      <c r="M219">
        <v>-1.400000000000012E-2</v>
      </c>
      <c r="N219">
        <v>-4.0750000000000057E-2</v>
      </c>
      <c r="O219">
        <v>-1.8999999999999909E-2</v>
      </c>
      <c r="Q219">
        <v>-1.2405152289034049E-2</v>
      </c>
      <c r="R219">
        <v>0.31529815822820589</v>
      </c>
      <c r="S219">
        <v>-0.40054079910998303</v>
      </c>
      <c r="T219">
        <v>-1.3674952755195591E-2</v>
      </c>
      <c r="U219">
        <v>2.367391107895855E-2</v>
      </c>
      <c r="V219">
        <v>-2.341244662522968E-2</v>
      </c>
    </row>
    <row r="220" spans="1:22" x14ac:dyDescent="0.2">
      <c r="A220" s="15">
        <v>40612.5</v>
      </c>
      <c r="B220" t="b">
        <v>1</v>
      </c>
      <c r="C220">
        <v>-3.000000000000114E-2</v>
      </c>
      <c r="D220">
        <v>-1.999999999998181E-2</v>
      </c>
      <c r="E220">
        <v>-1.999999999998181E-2</v>
      </c>
      <c r="F220">
        <v>-2.0000000000010228E-2</v>
      </c>
      <c r="G220">
        <v>-8.49999999999973E-3</v>
      </c>
      <c r="H220">
        <v>-1.2000000000000011E-2</v>
      </c>
      <c r="I220">
        <v>-1.2999999999999901E-2</v>
      </c>
      <c r="J220">
        <v>-1.499999999999968E-2</v>
      </c>
      <c r="K220">
        <v>-2.200000000000002E-2</v>
      </c>
      <c r="L220">
        <v>-1.8750000000000159E-2</v>
      </c>
      <c r="M220">
        <v>-6.7999999999999949E-2</v>
      </c>
      <c r="N220">
        <v>-2.0000000000000022E-3</v>
      </c>
      <c r="O220">
        <v>-7.2999999999999954E-2</v>
      </c>
      <c r="Q220">
        <v>-9.7999539149668635E-2</v>
      </c>
      <c r="R220">
        <v>0.25715969753402129</v>
      </c>
      <c r="S220">
        <v>-0.17315486222406659</v>
      </c>
      <c r="T220">
        <v>-4.9473242046929038E-2</v>
      </c>
      <c r="U220">
        <v>4.3784822911220538E-2</v>
      </c>
      <c r="V220">
        <v>-6.6916342598801748E-2</v>
      </c>
    </row>
    <row r="221" spans="1:22" x14ac:dyDescent="0.2">
      <c r="A221" s="15">
        <v>40640.458333333343</v>
      </c>
      <c r="B221" t="b">
        <v>1</v>
      </c>
      <c r="C221">
        <v>-1.9999999999996021E-2</v>
      </c>
      <c r="D221">
        <v>-1.9999999999996021E-2</v>
      </c>
      <c r="E221">
        <v>-1.9999999999996021E-2</v>
      </c>
      <c r="F221">
        <v>-2.0000000000010228E-2</v>
      </c>
      <c r="G221">
        <v>-4.0000000000000044E-3</v>
      </c>
      <c r="H221">
        <v>-3.0000000000000031E-3</v>
      </c>
      <c r="I221">
        <v>4.9999999999994493E-4</v>
      </c>
      <c r="J221">
        <v>-6.9999999999996732E-3</v>
      </c>
      <c r="K221">
        <v>-2.0000000000000021E-2</v>
      </c>
      <c r="L221">
        <v>-1.7749999999999929E-2</v>
      </c>
      <c r="M221">
        <v>-1.8500000000000068E-2</v>
      </c>
      <c r="N221">
        <v>-1.9499999999999851E-2</v>
      </c>
      <c r="O221">
        <v>-1.6999999999999901E-2</v>
      </c>
      <c r="Q221">
        <v>9.1869551707191022E-2</v>
      </c>
      <c r="R221">
        <v>0.30283141732914659</v>
      </c>
      <c r="S221">
        <v>-0.16854883477823529</v>
      </c>
      <c r="T221">
        <v>6.2104645118438377E-2</v>
      </c>
      <c r="U221">
        <v>1.714899648391111E-3</v>
      </c>
      <c r="V221">
        <v>9.1896829889378751E-2</v>
      </c>
    </row>
    <row r="222" spans="1:22" x14ac:dyDescent="0.2">
      <c r="A222" s="15">
        <v>40668.458333333343</v>
      </c>
      <c r="B222" t="b">
        <v>1</v>
      </c>
      <c r="C222">
        <v>0</v>
      </c>
      <c r="D222">
        <v>-9.9999999999909051E-3</v>
      </c>
      <c r="E222">
        <v>0</v>
      </c>
      <c r="F222">
        <v>0</v>
      </c>
      <c r="G222">
        <v>7.5000000000002842E-3</v>
      </c>
      <c r="H222">
        <v>4.4999999999999476E-3</v>
      </c>
      <c r="I222">
        <v>6.9999999999998952E-3</v>
      </c>
      <c r="J222">
        <v>9.5000000000000639E-3</v>
      </c>
      <c r="K222">
        <v>-1.0000000000000011E-2</v>
      </c>
      <c r="L222">
        <v>-2.4000000000000021E-2</v>
      </c>
      <c r="M222">
        <v>-4.500000000000004E-2</v>
      </c>
      <c r="N222">
        <v>7.4999999999998401E-3</v>
      </c>
      <c r="O222">
        <v>-4.2999999999999927E-2</v>
      </c>
      <c r="Q222">
        <v>0.1821301251039813</v>
      </c>
      <c r="R222">
        <v>6.120121480705798E-2</v>
      </c>
      <c r="S222">
        <v>-8.7869474043436924E-2</v>
      </c>
      <c r="T222">
        <v>0.17902731143487929</v>
      </c>
      <c r="U222">
        <v>6.7313604312403186E-2</v>
      </c>
      <c r="V222">
        <v>0.20078652322138171</v>
      </c>
    </row>
    <row r="223" spans="1:22" x14ac:dyDescent="0.2">
      <c r="A223" s="15">
        <v>40674.395833333343</v>
      </c>
      <c r="B223" t="b">
        <v>0</v>
      </c>
      <c r="C223">
        <v>1.000000000001933E-2</v>
      </c>
      <c r="D223">
        <v>1.999999999998181E-2</v>
      </c>
      <c r="E223">
        <v>3.9999999999992042E-2</v>
      </c>
      <c r="F223">
        <v>6.0000000000002267E-2</v>
      </c>
      <c r="G223">
        <v>3.900000000000059E-2</v>
      </c>
      <c r="H223">
        <v>1.8000000000000019E-2</v>
      </c>
      <c r="I223">
        <v>4.5999999999999819E-2</v>
      </c>
      <c r="J223">
        <v>4.4999999999999929E-2</v>
      </c>
      <c r="L223">
        <v>2.799999999999991E-2</v>
      </c>
      <c r="M223">
        <v>-1.5000000000000571E-3</v>
      </c>
      <c r="N223">
        <v>2.2000000000000242E-2</v>
      </c>
      <c r="Q223">
        <v>-0.14972553121492641</v>
      </c>
      <c r="R223">
        <v>-0.69109564835890858</v>
      </c>
      <c r="S223">
        <v>0.5106238869070765</v>
      </c>
      <c r="T223">
        <v>-7.8080560792955112E-2</v>
      </c>
      <c r="U223">
        <v>6.1093779192333393E-2</v>
      </c>
      <c r="V223">
        <v>-0.16703702334780249</v>
      </c>
    </row>
    <row r="224" spans="1:22" x14ac:dyDescent="0.2">
      <c r="A224" s="15">
        <v>40703.458333333343</v>
      </c>
      <c r="B224" t="b">
        <v>1</v>
      </c>
      <c r="C224">
        <v>0</v>
      </c>
      <c r="D224">
        <v>0</v>
      </c>
      <c r="E224">
        <v>0</v>
      </c>
      <c r="F224">
        <v>0</v>
      </c>
      <c r="G224">
        <v>-3.499999999999837E-3</v>
      </c>
      <c r="H224">
        <v>2.2499999999999961E-2</v>
      </c>
      <c r="I224">
        <v>2.4999999999999471E-3</v>
      </c>
      <c r="J224">
        <v>-4.4999999999997256E-3</v>
      </c>
      <c r="L224">
        <v>3.0499999999999972E-2</v>
      </c>
      <c r="M224">
        <v>-3.0000000000000031E-3</v>
      </c>
      <c r="N224">
        <v>-6.0000000000000053E-3</v>
      </c>
      <c r="O224">
        <v>-2.4999999999999471E-3</v>
      </c>
      <c r="Q224">
        <v>3.0112060107512661E-2</v>
      </c>
      <c r="R224">
        <v>3.9351266775328853E-2</v>
      </c>
      <c r="S224">
        <v>3.045437957512576E-2</v>
      </c>
      <c r="T224">
        <v>8.5686414141719069E-3</v>
      </c>
      <c r="U224">
        <v>-5.7321032689742417E-2</v>
      </c>
      <c r="V224">
        <v>2.0136601956210139E-2</v>
      </c>
    </row>
    <row r="225" spans="1:22" x14ac:dyDescent="0.2">
      <c r="A225" s="15">
        <v>40731.458333333343</v>
      </c>
      <c r="B225" t="b">
        <v>1</v>
      </c>
      <c r="C225">
        <v>0</v>
      </c>
      <c r="D225">
        <v>-4.9999999999954534E-3</v>
      </c>
      <c r="E225">
        <v>0</v>
      </c>
      <c r="F225">
        <v>0</v>
      </c>
      <c r="G225">
        <v>-6.4999999999999503E-3</v>
      </c>
      <c r="H225">
        <v>-4.4999999999999476E-3</v>
      </c>
      <c r="I225">
        <v>-4.4999999999999476E-3</v>
      </c>
      <c r="J225">
        <v>-6.0000000000002274E-3</v>
      </c>
      <c r="K225">
        <v>0</v>
      </c>
      <c r="L225">
        <v>-1.0000000000000011E-3</v>
      </c>
      <c r="M225">
        <v>-1.0000000000000011E-3</v>
      </c>
      <c r="N225">
        <v>-5.5000000000000604E-3</v>
      </c>
      <c r="O225">
        <v>1.0000000000001119E-3</v>
      </c>
      <c r="Q225">
        <v>8.3462003971135346E-3</v>
      </c>
      <c r="R225">
        <v>-7.269270876761702E-2</v>
      </c>
      <c r="S225">
        <v>9.3877614951694E-3</v>
      </c>
      <c r="T225">
        <v>1.8469514208845791E-2</v>
      </c>
      <c r="U225">
        <v>1.154500160441785E-2</v>
      </c>
      <c r="V225">
        <v>1.9412659271779379E-2</v>
      </c>
    </row>
    <row r="226" spans="1:22" x14ac:dyDescent="0.2">
      <c r="A226" s="15">
        <v>40759.458333333343</v>
      </c>
      <c r="B226" t="b">
        <v>1</v>
      </c>
      <c r="C226">
        <v>9.9999999999909051E-3</v>
      </c>
      <c r="D226">
        <v>0</v>
      </c>
      <c r="E226">
        <v>0</v>
      </c>
      <c r="F226">
        <v>1.0000000000005119E-2</v>
      </c>
      <c r="G226">
        <v>-2.99999999999967E-3</v>
      </c>
      <c r="H226">
        <v>0</v>
      </c>
      <c r="I226">
        <v>1.499999999999946E-3</v>
      </c>
      <c r="J226">
        <v>-4.5000000000001714E-3</v>
      </c>
      <c r="K226">
        <v>0</v>
      </c>
      <c r="L226">
        <v>3.0000000000000031E-3</v>
      </c>
      <c r="M226">
        <v>-1.0000000000000011E-3</v>
      </c>
      <c r="N226">
        <v>1.499999999999946E-3</v>
      </c>
      <c r="O226">
        <v>-3.0000000000000031E-3</v>
      </c>
      <c r="Q226">
        <v>-0.20892005055679869</v>
      </c>
      <c r="R226">
        <v>1.146460305069041E-2</v>
      </c>
      <c r="S226">
        <v>9.1877992497835237E-2</v>
      </c>
      <c r="T226">
        <v>-0.20497882439804019</v>
      </c>
      <c r="U226">
        <v>-0.32844919395881789</v>
      </c>
      <c r="V226">
        <v>-0.1910116500355343</v>
      </c>
    </row>
    <row r="227" spans="1:22" x14ac:dyDescent="0.2">
      <c r="A227" s="15">
        <v>40765.395833333343</v>
      </c>
      <c r="B227" t="b">
        <v>0</v>
      </c>
      <c r="C227">
        <v>1.5000000000014779E-2</v>
      </c>
      <c r="D227">
        <v>4.0000000000006253E-2</v>
      </c>
      <c r="E227">
        <v>4.9999999999997158E-2</v>
      </c>
      <c r="F227">
        <v>4.9999999999997158E-2</v>
      </c>
      <c r="G227">
        <v>-1.2999999999999901E-2</v>
      </c>
      <c r="H227">
        <v>7.5000000000000067E-3</v>
      </c>
      <c r="I227">
        <v>1.500000000000001E-2</v>
      </c>
      <c r="J227">
        <v>-1.6499999999999959E-2</v>
      </c>
      <c r="K227">
        <v>7.0000000000000062E-3</v>
      </c>
      <c r="L227">
        <v>4.4499999999999873E-2</v>
      </c>
      <c r="M227">
        <v>1.550000000000001E-2</v>
      </c>
      <c r="N227">
        <v>4.2000000000000037E-2</v>
      </c>
      <c r="O227">
        <v>1.900000000000002E-2</v>
      </c>
      <c r="Q227">
        <v>-9.5946270162130531E-3</v>
      </c>
      <c r="R227">
        <v>-5.0869013390279598E-2</v>
      </c>
      <c r="S227">
        <v>2.76714478544875E-2</v>
      </c>
      <c r="T227">
        <v>-4.8582281672793208E-2</v>
      </c>
      <c r="U227">
        <v>6.8266557290826313E-2</v>
      </c>
      <c r="V227">
        <v>-4.4782289927184138E-2</v>
      </c>
    </row>
    <row r="228" spans="1:22" x14ac:dyDescent="0.2">
      <c r="A228" s="15">
        <v>40794.458333333343</v>
      </c>
      <c r="B228" t="b">
        <v>1</v>
      </c>
      <c r="C228">
        <v>0</v>
      </c>
      <c r="D228">
        <v>2.0000000000010228E-2</v>
      </c>
      <c r="E228">
        <v>2.0000000000010228E-2</v>
      </c>
      <c r="F228">
        <v>1.999999999998181E-2</v>
      </c>
      <c r="G228">
        <v>2.1500000000000519E-2</v>
      </c>
      <c r="H228">
        <v>1.1500000000000069E-2</v>
      </c>
      <c r="I228">
        <v>1.9000000000000131E-2</v>
      </c>
      <c r="J228">
        <v>2.0999999999999911E-2</v>
      </c>
      <c r="K228">
        <v>1.0599999999999939E-2</v>
      </c>
      <c r="L228">
        <v>1.1400000000000019E-2</v>
      </c>
      <c r="M228">
        <v>1.329999999999998E-2</v>
      </c>
      <c r="N228">
        <v>1.5999999999999959E-2</v>
      </c>
      <c r="O228">
        <v>8.3999999999999631E-3</v>
      </c>
      <c r="Q228">
        <v>-8.8799575858161006E-2</v>
      </c>
      <c r="R228">
        <v>-0.33027761929039379</v>
      </c>
      <c r="S228">
        <v>0.38752470523533589</v>
      </c>
      <c r="T228">
        <v>-6.3033422406533646E-2</v>
      </c>
      <c r="U228">
        <v>-3.4031392610472722E-2</v>
      </c>
      <c r="V228">
        <v>-9.927878801602219E-2</v>
      </c>
    </row>
    <row r="229" spans="1:22" x14ac:dyDescent="0.2">
      <c r="A229" s="15">
        <v>40822.458333333343</v>
      </c>
      <c r="B229" t="b">
        <v>1</v>
      </c>
      <c r="C229">
        <v>-3.000000000000114E-2</v>
      </c>
      <c r="D229">
        <v>-1.9999999999996021E-2</v>
      </c>
      <c r="E229">
        <v>-2.0000000000010228E-2</v>
      </c>
      <c r="F229">
        <v>-3.000000000000114E-2</v>
      </c>
      <c r="G229">
        <v>-9.4500000000000473E-2</v>
      </c>
      <c r="H229">
        <v>1.049999999999995E-2</v>
      </c>
      <c r="I229">
        <v>5.0000000000016698E-4</v>
      </c>
      <c r="J229">
        <v>-8.4000000000000075E-2</v>
      </c>
      <c r="K229">
        <v>0</v>
      </c>
      <c r="L229">
        <v>-1.6250000000000039E-2</v>
      </c>
      <c r="M229">
        <v>-5.0999999999998824E-3</v>
      </c>
      <c r="N229">
        <v>-2.6900000000000032E-2</v>
      </c>
      <c r="O229">
        <v>-3.6499999999999311E-3</v>
      </c>
      <c r="Q229">
        <v>0.33289139413614072</v>
      </c>
      <c r="R229">
        <v>0.67577581226087347</v>
      </c>
      <c r="S229">
        <v>-1.048898216670217</v>
      </c>
      <c r="T229">
        <v>0.34208429119598799</v>
      </c>
      <c r="U229">
        <v>0.34167441289002909</v>
      </c>
      <c r="V229">
        <v>0.32763679709387361</v>
      </c>
    </row>
    <row r="230" spans="1:22" x14ac:dyDescent="0.2">
      <c r="A230" s="15">
        <v>40857.5</v>
      </c>
      <c r="B230" t="b">
        <v>1</v>
      </c>
      <c r="C230">
        <v>1.999999999998181E-2</v>
      </c>
      <c r="D230">
        <v>2.0000000000010228E-2</v>
      </c>
      <c r="E230">
        <v>2.0000000000010228E-2</v>
      </c>
      <c r="F230">
        <v>1.4999999999986359E-2</v>
      </c>
      <c r="G230">
        <v>1.049999999999995E-2</v>
      </c>
      <c r="H230">
        <v>5.0000000000000036E-3</v>
      </c>
      <c r="I230">
        <v>4.4999999999999476E-3</v>
      </c>
      <c r="J230">
        <v>8.0000000000000071E-3</v>
      </c>
      <c r="K230">
        <v>1.800000000000024E-3</v>
      </c>
      <c r="L230">
        <v>1.355000000000001E-2</v>
      </c>
      <c r="M230">
        <v>-2.6999999999999251E-3</v>
      </c>
      <c r="N230">
        <v>5.8999999999999053E-3</v>
      </c>
      <c r="O230">
        <v>3.299999999999859E-3</v>
      </c>
      <c r="Q230">
        <v>0.4221545295785063</v>
      </c>
      <c r="R230">
        <v>0.12296883411642941</v>
      </c>
      <c r="S230">
        <v>9.7323608655216276E-2</v>
      </c>
      <c r="T230">
        <v>0.38552946059326132</v>
      </c>
      <c r="U230">
        <v>0.2099552736632404</v>
      </c>
      <c r="V230">
        <v>0.41883708200782621</v>
      </c>
    </row>
    <row r="231" spans="1:22" x14ac:dyDescent="0.2">
      <c r="A231" s="15">
        <v>40863.4375</v>
      </c>
      <c r="B231" t="b">
        <v>0</v>
      </c>
      <c r="C231">
        <v>-9.9999999999909051E-3</v>
      </c>
      <c r="D231">
        <v>1.0000000000005119E-2</v>
      </c>
      <c r="E231">
        <v>0</v>
      </c>
      <c r="F231">
        <v>0</v>
      </c>
      <c r="G231">
        <v>-5.2999999999999943E-2</v>
      </c>
      <c r="H231">
        <v>-1.650000000000007E-2</v>
      </c>
      <c r="I231">
        <v>-2.449999999999997E-2</v>
      </c>
      <c r="J231">
        <v>-4.7499999999999883E-2</v>
      </c>
      <c r="K231">
        <v>-4.9999999999994493E-4</v>
      </c>
      <c r="L231">
        <v>-4.099999999999937E-3</v>
      </c>
      <c r="M231">
        <v>-3.700000000000037E-3</v>
      </c>
      <c r="N231">
        <v>-8.9500000000000135E-3</v>
      </c>
      <c r="O231">
        <v>-2.2999999999999692E-3</v>
      </c>
      <c r="Q231">
        <v>-1.684527562370135</v>
      </c>
      <c r="R231">
        <v>-0.53162093951038081</v>
      </c>
      <c r="S231">
        <v>-1.267708302017923E-2</v>
      </c>
      <c r="T231">
        <v>-1.664911054998242</v>
      </c>
      <c r="U231">
        <v>-1.3247979400820209</v>
      </c>
      <c r="V231">
        <v>-1.6786588446541371</v>
      </c>
    </row>
    <row r="232" spans="1:22" x14ac:dyDescent="0.2">
      <c r="A232" s="15">
        <v>40885.5</v>
      </c>
      <c r="B232" t="b">
        <v>1</v>
      </c>
      <c r="C232">
        <v>1.0000000000005119E-2</v>
      </c>
      <c r="D232">
        <v>0</v>
      </c>
      <c r="E232">
        <v>-1.0000000000005119E-2</v>
      </c>
      <c r="F232">
        <v>0</v>
      </c>
      <c r="G232">
        <v>-1.7500000000000071E-2</v>
      </c>
      <c r="H232">
        <v>-1.8500000000000068E-2</v>
      </c>
      <c r="I232">
        <v>-3.0000000000000031E-3</v>
      </c>
      <c r="J232">
        <v>-5.0000000000001146E-3</v>
      </c>
      <c r="K232">
        <v>1.100000000000001E-2</v>
      </c>
      <c r="L232">
        <v>1.519999999999999E-2</v>
      </c>
      <c r="M232">
        <v>6.3000000000000833E-3</v>
      </c>
      <c r="N232">
        <v>4.4999999999999476E-3</v>
      </c>
      <c r="O232">
        <v>1.1949999999999961E-2</v>
      </c>
      <c r="Q232">
        <v>4.0399506777816903E-2</v>
      </c>
      <c r="R232">
        <v>-7.6261992960757752E-2</v>
      </c>
      <c r="S232">
        <v>2.2283413274443831E-2</v>
      </c>
      <c r="T232">
        <v>6.6079875139507749E-2</v>
      </c>
      <c r="U232">
        <v>0.12550029354122219</v>
      </c>
      <c r="V232">
        <v>4.5800581480079927E-2</v>
      </c>
    </row>
    <row r="233" spans="1:22" x14ac:dyDescent="0.2">
      <c r="A233" s="15">
        <v>40920.5</v>
      </c>
      <c r="B233" t="b">
        <v>1</v>
      </c>
      <c r="C233">
        <v>-1.0000000000005119E-2</v>
      </c>
      <c r="D233">
        <v>0</v>
      </c>
      <c r="E233">
        <v>9.9999999999909051E-3</v>
      </c>
      <c r="F233">
        <v>1.0000000000005119E-2</v>
      </c>
      <c r="G233">
        <v>4.9999999999998934E-3</v>
      </c>
      <c r="H233">
        <v>4.4999999999999476E-3</v>
      </c>
      <c r="I233">
        <v>4.9999999999999489E-3</v>
      </c>
      <c r="J233">
        <v>6.9999999999998952E-3</v>
      </c>
      <c r="K233">
        <v>5.2499999999999769E-3</v>
      </c>
      <c r="L233">
        <v>3.2500000000000311E-3</v>
      </c>
      <c r="M233">
        <v>4.1999999999999824E-3</v>
      </c>
      <c r="N233">
        <v>6.0999999999999943E-3</v>
      </c>
      <c r="O233">
        <v>2.2000000000000912E-3</v>
      </c>
      <c r="Q233">
        <v>0.1858736594625725</v>
      </c>
      <c r="R233">
        <v>5.414999681067556E-2</v>
      </c>
      <c r="S233">
        <v>0.12700895654882771</v>
      </c>
      <c r="T233">
        <v>0.18877996331582381</v>
      </c>
      <c r="U233">
        <v>0.1301591484087794</v>
      </c>
      <c r="V233">
        <v>0.18574023328801559</v>
      </c>
    </row>
    <row r="234" spans="1:22" x14ac:dyDescent="0.2">
      <c r="A234" s="15">
        <v>40948.5</v>
      </c>
      <c r="B234" t="b">
        <v>1</v>
      </c>
      <c r="C234">
        <v>9.9999999999909051E-3</v>
      </c>
      <c r="D234">
        <v>9.9999999999909051E-3</v>
      </c>
      <c r="E234">
        <v>9.9999999999909051E-3</v>
      </c>
      <c r="F234">
        <v>9.9999999999909051E-3</v>
      </c>
      <c r="G234">
        <v>3.7499999999999638E-2</v>
      </c>
      <c r="H234">
        <v>-1.199999999999996E-2</v>
      </c>
      <c r="I234">
        <v>-2.1000000000000071E-2</v>
      </c>
      <c r="J234">
        <v>-3.2000000000000028E-2</v>
      </c>
      <c r="K234">
        <v>-3.0000000000002253E-4</v>
      </c>
      <c r="L234">
        <v>4.5499999999999976E-3</v>
      </c>
      <c r="M234">
        <v>2.4000000000000128E-3</v>
      </c>
      <c r="N234">
        <v>9.8500000000000254E-3</v>
      </c>
      <c r="O234">
        <v>3.6999999999999811E-3</v>
      </c>
      <c r="Q234">
        <v>-0.1369159892132075</v>
      </c>
      <c r="R234">
        <v>-0.36480021319006178</v>
      </c>
      <c r="S234">
        <v>0.1892028818707843</v>
      </c>
      <c r="T234">
        <v>-0.1183887432207484</v>
      </c>
      <c r="U234">
        <v>-7.2152845711229929E-2</v>
      </c>
      <c r="V234">
        <v>-0.1284030809721344</v>
      </c>
    </row>
    <row r="235" spans="1:22" x14ac:dyDescent="0.2">
      <c r="A235" s="15">
        <v>40954.4375</v>
      </c>
      <c r="B235" t="b">
        <v>0</v>
      </c>
      <c r="C235">
        <v>0</v>
      </c>
      <c r="D235">
        <v>0</v>
      </c>
      <c r="E235">
        <v>9.9999999999909051E-3</v>
      </c>
      <c r="F235">
        <v>0</v>
      </c>
      <c r="G235">
        <v>3.5000000000002811E-3</v>
      </c>
      <c r="H235">
        <v>1.250000000000007E-2</v>
      </c>
      <c r="I235">
        <v>1.300000000000001E-2</v>
      </c>
      <c r="J235">
        <v>1.0000000000000011E-2</v>
      </c>
      <c r="K235">
        <v>1.99999999999978E-4</v>
      </c>
      <c r="L235">
        <v>2.0000000000000022E-3</v>
      </c>
      <c r="M235">
        <v>-9.9999999999988987E-5</v>
      </c>
      <c r="N235">
        <v>2.9000000000000141E-3</v>
      </c>
      <c r="O235">
        <v>-5.9999999999998943E-4</v>
      </c>
      <c r="Q235">
        <v>-7.21057015949782E-2</v>
      </c>
      <c r="R235">
        <v>-0.25049216891043002</v>
      </c>
      <c r="S235">
        <v>0.16870657023022059</v>
      </c>
      <c r="T235">
        <v>-0.1114719809190774</v>
      </c>
      <c r="U235">
        <v>-0.22144604861966849</v>
      </c>
      <c r="V235">
        <v>-9.3943522525478329E-2</v>
      </c>
    </row>
    <row r="236" spans="1:22" x14ac:dyDescent="0.2">
      <c r="A236" s="15">
        <v>40976.5</v>
      </c>
      <c r="B236" t="b">
        <v>1</v>
      </c>
      <c r="C236">
        <v>0</v>
      </c>
      <c r="D236">
        <v>0</v>
      </c>
      <c r="E236">
        <v>0</v>
      </c>
      <c r="F236">
        <v>1.000000000001933E-2</v>
      </c>
      <c r="G236">
        <v>6.9999999999996732E-3</v>
      </c>
      <c r="H236">
        <v>1.049999999999995E-2</v>
      </c>
      <c r="I236">
        <v>1.0500000000000009E-2</v>
      </c>
      <c r="J236">
        <v>9.000000000000119E-3</v>
      </c>
      <c r="K236">
        <v>7.0000000000003393E-4</v>
      </c>
      <c r="L236">
        <v>-1.700000000000035E-3</v>
      </c>
      <c r="M236">
        <v>1.900000000000013E-3</v>
      </c>
      <c r="N236">
        <v>2.8000000000000251E-3</v>
      </c>
      <c r="O236">
        <v>-6.9999999999997842E-4</v>
      </c>
      <c r="Q236">
        <v>2.984629181969467E-2</v>
      </c>
      <c r="R236">
        <v>9.5431237112510559E-2</v>
      </c>
      <c r="S236">
        <v>0.12660232740218899</v>
      </c>
      <c r="T236">
        <v>2.5962886364368391E-2</v>
      </c>
      <c r="U236">
        <v>-8.7421948819610407E-5</v>
      </c>
      <c r="V236">
        <v>2.981776257684032E-2</v>
      </c>
    </row>
    <row r="237" spans="1:22" x14ac:dyDescent="0.2">
      <c r="A237" s="15">
        <v>41004.458333333343</v>
      </c>
      <c r="B237" t="b">
        <v>1</v>
      </c>
      <c r="C237">
        <v>0</v>
      </c>
      <c r="D237">
        <v>0</v>
      </c>
      <c r="E237">
        <v>0</v>
      </c>
      <c r="F237">
        <v>1.0000000000005119E-2</v>
      </c>
      <c r="G237">
        <v>8.0000000000000071E-3</v>
      </c>
      <c r="H237">
        <v>7.9999999999999516E-3</v>
      </c>
      <c r="I237">
        <v>7.5000000000000067E-3</v>
      </c>
      <c r="J237">
        <v>5.0000000000001146E-3</v>
      </c>
      <c r="L237">
        <v>3.0999999999999921E-3</v>
      </c>
      <c r="M237">
        <v>2.0000000000003351E-4</v>
      </c>
      <c r="N237">
        <v>3.399999999999959E-3</v>
      </c>
      <c r="O237">
        <v>-4.9000000000000146E-3</v>
      </c>
      <c r="Q237">
        <v>0.222034817449412</v>
      </c>
      <c r="R237">
        <v>4.8449613350836529E-2</v>
      </c>
      <c r="S237">
        <v>3.1573131267847998E-3</v>
      </c>
      <c r="T237">
        <v>0.20747773165601299</v>
      </c>
      <c r="U237">
        <v>0.29040691945488112</v>
      </c>
      <c r="V237">
        <v>0.20796380016145119</v>
      </c>
    </row>
    <row r="238" spans="1:22" x14ac:dyDescent="0.2">
      <c r="A238" s="15">
        <v>41039.458333333343</v>
      </c>
      <c r="B238" t="b">
        <v>1</v>
      </c>
      <c r="C238">
        <v>0</v>
      </c>
      <c r="D238">
        <v>0</v>
      </c>
      <c r="E238">
        <v>0</v>
      </c>
      <c r="F238">
        <v>1.000000000001933E-2</v>
      </c>
      <c r="G238">
        <v>2.800000000000025E-2</v>
      </c>
      <c r="H238">
        <v>4.9999999999994493E-4</v>
      </c>
      <c r="I238">
        <v>1.8999999999999961E-2</v>
      </c>
      <c r="J238">
        <v>2.0000000000000021E-2</v>
      </c>
      <c r="L238">
        <v>3.649999999999987E-3</v>
      </c>
      <c r="M238">
        <v>1.0000000000000011E-3</v>
      </c>
      <c r="N238">
        <v>2.6500000000000412E-3</v>
      </c>
      <c r="O238">
        <v>1.900000000000013E-3</v>
      </c>
      <c r="Q238">
        <v>4.5602754415767777E-3</v>
      </c>
      <c r="R238">
        <v>-0.29299026663313649</v>
      </c>
      <c r="S238">
        <v>0.2448512745230573</v>
      </c>
      <c r="T238">
        <v>-1.5735448676309719E-2</v>
      </c>
      <c r="U238">
        <v>-1.8242996766730361E-2</v>
      </c>
      <c r="V238">
        <v>-1.8900328085919679E-2</v>
      </c>
    </row>
    <row r="239" spans="1:22" x14ac:dyDescent="0.2">
      <c r="A239" s="15">
        <v>41045.395833333343</v>
      </c>
      <c r="B239" t="b">
        <v>0</v>
      </c>
      <c r="C239">
        <v>0</v>
      </c>
      <c r="D239">
        <v>0</v>
      </c>
      <c r="E239">
        <v>0</v>
      </c>
      <c r="F239">
        <v>0</v>
      </c>
      <c r="G239">
        <v>-3.9499999999999869E-2</v>
      </c>
      <c r="H239">
        <v>-5.5000000000000049E-3</v>
      </c>
      <c r="I239">
        <v>-2.399999999999991E-2</v>
      </c>
      <c r="J239">
        <v>-3.5999999999999921E-2</v>
      </c>
      <c r="K239">
        <v>0</v>
      </c>
      <c r="L239">
        <v>6.0000000000000053E-3</v>
      </c>
      <c r="M239">
        <v>1.0000000000000011E-3</v>
      </c>
      <c r="N239">
        <v>-1.0649999999999941E-2</v>
      </c>
      <c r="O239">
        <v>-1.6999999999999791E-3</v>
      </c>
      <c r="Q239">
        <v>0.15344201276229799</v>
      </c>
      <c r="R239">
        <v>0.2006018726865797</v>
      </c>
      <c r="S239">
        <v>-0.27592279130574582</v>
      </c>
      <c r="T239">
        <v>0.16457911989687091</v>
      </c>
      <c r="U239">
        <v>0.34331357871235468</v>
      </c>
      <c r="V239">
        <v>0.1383608359162736</v>
      </c>
    </row>
    <row r="240" spans="1:22" x14ac:dyDescent="0.2">
      <c r="A240" s="15">
        <v>41067.458333333343</v>
      </c>
      <c r="B240" t="b">
        <v>1</v>
      </c>
      <c r="C240">
        <v>9.9999999999909051E-3</v>
      </c>
      <c r="D240">
        <v>1.0000000000005119E-2</v>
      </c>
      <c r="E240">
        <v>1.4999999999986359E-2</v>
      </c>
      <c r="F240">
        <v>2.0000000000010228E-2</v>
      </c>
      <c r="G240">
        <v>5.2000000000000268E-2</v>
      </c>
      <c r="H240">
        <v>5.1999999999999991E-2</v>
      </c>
      <c r="I240">
        <v>3.4499999999999982E-2</v>
      </c>
      <c r="J240">
        <v>4.4000000000000039E-2</v>
      </c>
      <c r="K240">
        <v>1.329999999999998E-2</v>
      </c>
      <c r="L240">
        <v>1.2000000000000011E-2</v>
      </c>
      <c r="M240">
        <v>1.049999999999995E-2</v>
      </c>
      <c r="N240">
        <v>2.6399999999999979E-2</v>
      </c>
      <c r="O240">
        <v>1.1799999999999981E-2</v>
      </c>
      <c r="Q240">
        <v>0.87324757508611128</v>
      </c>
      <c r="R240">
        <v>-0.3640743276693712</v>
      </c>
      <c r="S240">
        <v>0.49296895541804991</v>
      </c>
      <c r="T240">
        <v>0.84377023299134635</v>
      </c>
      <c r="U240">
        <v>0.71943296754920993</v>
      </c>
      <c r="V240">
        <v>0.88754307120734666</v>
      </c>
    </row>
    <row r="241" spans="1:22" x14ac:dyDescent="0.2">
      <c r="A241" s="15">
        <v>41095.458333333343</v>
      </c>
      <c r="B241" t="b">
        <v>1</v>
      </c>
      <c r="C241">
        <v>1.9999999999996021E-2</v>
      </c>
      <c r="D241">
        <v>1.9999999999996021E-2</v>
      </c>
      <c r="E241">
        <v>2.0000000000010228E-2</v>
      </c>
      <c r="F241">
        <v>1.999999999998181E-2</v>
      </c>
      <c r="G241">
        <v>6.0000000000000053E-2</v>
      </c>
      <c r="H241">
        <v>4.1000000000000043E-2</v>
      </c>
      <c r="I241">
        <v>4.6000000000000041E-2</v>
      </c>
      <c r="J241">
        <v>4.6499999999999993E-2</v>
      </c>
      <c r="K241">
        <v>1.5949999999999961E-2</v>
      </c>
      <c r="L241">
        <v>1.6449999999999961E-2</v>
      </c>
      <c r="M241">
        <v>1.0699999999999991E-2</v>
      </c>
      <c r="N241">
        <v>2.1749999999999992E-2</v>
      </c>
      <c r="O241">
        <v>9.8499999999999699E-3</v>
      </c>
      <c r="Q241">
        <v>0.23391823531721909</v>
      </c>
      <c r="R241">
        <v>-0.13074745815525901</v>
      </c>
      <c r="S241">
        <v>0.182988542048129</v>
      </c>
      <c r="T241">
        <v>0.2466017518654553</v>
      </c>
      <c r="U241">
        <v>0.28397748339318701</v>
      </c>
      <c r="V241">
        <v>0.2442422961190687</v>
      </c>
    </row>
    <row r="242" spans="1:22" x14ac:dyDescent="0.2">
      <c r="A242" s="15">
        <v>41123.458333333343</v>
      </c>
      <c r="B242" t="b">
        <v>1</v>
      </c>
      <c r="C242">
        <v>9.9999999999909051E-3</v>
      </c>
      <c r="D242">
        <v>4.9999999999954534E-3</v>
      </c>
      <c r="E242">
        <v>0</v>
      </c>
      <c r="F242">
        <v>0</v>
      </c>
      <c r="G242">
        <v>-1.2999999999999901E-2</v>
      </c>
      <c r="H242">
        <v>-4.0000000000000044E-3</v>
      </c>
      <c r="I242">
        <v>-1.049999999999995E-2</v>
      </c>
      <c r="J242">
        <v>-1.100000000000001E-2</v>
      </c>
      <c r="K242">
        <v>0</v>
      </c>
      <c r="L242">
        <v>1.7100000000000001E-2</v>
      </c>
      <c r="M242">
        <v>2.849999999999997E-2</v>
      </c>
      <c r="N242">
        <v>5.8000000000000274E-3</v>
      </c>
      <c r="O242">
        <v>2.4899999999999981E-2</v>
      </c>
      <c r="Q242">
        <v>-0.16256951228672281</v>
      </c>
      <c r="R242">
        <v>-0.1141046082597761</v>
      </c>
      <c r="S242">
        <v>8.0358725656360264E-2</v>
      </c>
      <c r="T242">
        <v>-0.13354662408085011</v>
      </c>
      <c r="U242">
        <v>-5.1199686593690792E-2</v>
      </c>
      <c r="V242">
        <v>-0.14772713112677141</v>
      </c>
    </row>
    <row r="243" spans="1:22" x14ac:dyDescent="0.2">
      <c r="A243" s="15">
        <v>41129.395833333343</v>
      </c>
      <c r="B243" t="b">
        <v>0</v>
      </c>
      <c r="C243">
        <v>4.0000000000020457E-2</v>
      </c>
      <c r="D243">
        <v>8.0000000000012506E-2</v>
      </c>
      <c r="E243">
        <v>8.0000000000012506E-2</v>
      </c>
      <c r="F243">
        <v>7.5000000000002842E-2</v>
      </c>
      <c r="G243">
        <v>1.2999999999999901E-2</v>
      </c>
      <c r="H243">
        <v>3.549999999999999E-2</v>
      </c>
      <c r="I243">
        <v>4.0000000000000008E-2</v>
      </c>
      <c r="J243">
        <v>3.0499999999999972E-2</v>
      </c>
      <c r="K243">
        <v>-9.9999999999988987E-5</v>
      </c>
      <c r="L243">
        <v>6.4499999999999891E-2</v>
      </c>
      <c r="M243">
        <v>1.4099999999999949E-2</v>
      </c>
      <c r="N243">
        <v>7.4899999999999994E-2</v>
      </c>
      <c r="O243">
        <v>1.6649999999999939E-2</v>
      </c>
      <c r="Q243">
        <v>-7.329324090198952E-2</v>
      </c>
      <c r="R243">
        <v>-0.61884511718897173</v>
      </c>
      <c r="S243">
        <v>0.5120011184854647</v>
      </c>
      <c r="T243">
        <v>-5.6353343576120103E-2</v>
      </c>
      <c r="U243">
        <v>4.3019041197567276E-3</v>
      </c>
      <c r="V243">
        <v>-6.6017951027447452E-2</v>
      </c>
    </row>
    <row r="244" spans="1:22" x14ac:dyDescent="0.2">
      <c r="A244" s="15">
        <v>41158.458333333343</v>
      </c>
      <c r="B244" t="b">
        <v>1</v>
      </c>
      <c r="C244">
        <v>9.9999999999909051E-3</v>
      </c>
      <c r="D244">
        <v>0</v>
      </c>
      <c r="E244">
        <v>0</v>
      </c>
      <c r="F244">
        <v>0</v>
      </c>
      <c r="G244">
        <v>2.4999999999999471E-3</v>
      </c>
      <c r="H244">
        <v>3.0000000000000439E-3</v>
      </c>
      <c r="I244">
        <v>1.999999999999932E-3</v>
      </c>
      <c r="J244">
        <v>2.9999999999998921E-3</v>
      </c>
      <c r="K244">
        <v>6.0999999999999943E-3</v>
      </c>
      <c r="L244">
        <v>-1.0449999999999959E-2</v>
      </c>
      <c r="M244">
        <v>7.0000000000000062E-3</v>
      </c>
      <c r="N244">
        <v>9.000000000000119E-4</v>
      </c>
      <c r="O244">
        <v>6.6999999999999837E-3</v>
      </c>
      <c r="Q244">
        <v>3.5147840966260453E-2</v>
      </c>
      <c r="R244">
        <v>-3.1520882845693883E-2</v>
      </c>
      <c r="S244">
        <v>1.2571895544098771E-2</v>
      </c>
      <c r="T244">
        <v>4.3464417983159358E-2</v>
      </c>
      <c r="U244">
        <v>9.0975576301616456E-2</v>
      </c>
      <c r="V244">
        <v>3.7248921617560882E-2</v>
      </c>
    </row>
    <row r="245" spans="1:22" x14ac:dyDescent="0.2">
      <c r="A245" s="15">
        <v>41186.458333333343</v>
      </c>
      <c r="B245" t="b">
        <v>1</v>
      </c>
      <c r="C245">
        <v>0</v>
      </c>
      <c r="D245">
        <v>0</v>
      </c>
      <c r="E245">
        <v>0</v>
      </c>
      <c r="F245">
        <v>4.9999999999954534E-3</v>
      </c>
      <c r="G245">
        <v>9.9999999999988987E-4</v>
      </c>
      <c r="H245">
        <v>4.0000000000000591E-3</v>
      </c>
      <c r="I245">
        <v>4.0000000000000044E-3</v>
      </c>
      <c r="J245">
        <v>1.499999999999946E-3</v>
      </c>
      <c r="K245">
        <v>0</v>
      </c>
      <c r="L245">
        <v>6.2000000000000388E-3</v>
      </c>
      <c r="M245">
        <v>8.9000000000000745E-3</v>
      </c>
      <c r="N245">
        <v>5.3000000000000269E-3</v>
      </c>
      <c r="O245">
        <v>4.0999999999999934E-3</v>
      </c>
      <c r="Q245">
        <v>-0.19815634984036021</v>
      </c>
      <c r="R245">
        <v>1.244632523854605E-2</v>
      </c>
      <c r="S245">
        <v>-3.4140815676359182E-2</v>
      </c>
      <c r="T245">
        <v>-0.17959309109278371</v>
      </c>
      <c r="U245">
        <v>-9.0293611119363959E-2</v>
      </c>
      <c r="V245">
        <v>-0.20149421155190339</v>
      </c>
    </row>
    <row r="246" spans="1:22" x14ac:dyDescent="0.2">
      <c r="A246" s="15">
        <v>41221.5</v>
      </c>
      <c r="B246" t="b">
        <v>1</v>
      </c>
      <c r="C246">
        <v>1.0000000000005119E-2</v>
      </c>
      <c r="D246">
        <v>1.0000000000005119E-2</v>
      </c>
      <c r="E246">
        <v>9.9999999999909051E-3</v>
      </c>
      <c r="F246">
        <v>1.9999999999996021E-2</v>
      </c>
      <c r="G246">
        <v>3.499999999999992E-2</v>
      </c>
      <c r="H246">
        <v>2.7000000000000021E-2</v>
      </c>
      <c r="I246">
        <v>2.6499999999999909E-2</v>
      </c>
      <c r="J246">
        <v>2.9499999999999971E-2</v>
      </c>
      <c r="K246">
        <v>0</v>
      </c>
      <c r="L246">
        <v>1.189999999999997E-2</v>
      </c>
      <c r="M246">
        <v>-1.0999999999999901E-3</v>
      </c>
      <c r="N246">
        <v>1.960000000000001E-2</v>
      </c>
      <c r="O246">
        <v>7.0000000000001172E-3</v>
      </c>
      <c r="Q246">
        <v>2.59123300952524E-2</v>
      </c>
      <c r="R246">
        <v>-0.23185146833656839</v>
      </c>
      <c r="S246">
        <v>0.20663104938172691</v>
      </c>
      <c r="T246">
        <v>2.569474655410886E-2</v>
      </c>
      <c r="U246">
        <v>1.847638393155648E-2</v>
      </c>
      <c r="V246">
        <v>2.5833251671770089E-2</v>
      </c>
    </row>
    <row r="247" spans="1:22" x14ac:dyDescent="0.2">
      <c r="A247" s="15">
        <v>41227.4375</v>
      </c>
      <c r="B247" t="b">
        <v>0</v>
      </c>
      <c r="C247">
        <v>0</v>
      </c>
      <c r="D247">
        <v>-1.0000000000005119E-2</v>
      </c>
      <c r="E247">
        <v>-4.9999999999954534E-3</v>
      </c>
      <c r="F247">
        <v>0</v>
      </c>
      <c r="G247">
        <v>-1.199999999999979E-2</v>
      </c>
      <c r="H247">
        <v>-1.4000000000000011E-2</v>
      </c>
      <c r="I247">
        <v>-1.7500000000000071E-2</v>
      </c>
      <c r="J247">
        <v>-1.3000000000000121E-2</v>
      </c>
      <c r="K247">
        <v>7.999999999999674E-4</v>
      </c>
      <c r="L247">
        <v>2.0999999999999912E-3</v>
      </c>
      <c r="M247">
        <v>-2.2999999999999692E-3</v>
      </c>
      <c r="N247">
        <v>-2.0000000000000022E-3</v>
      </c>
      <c r="O247">
        <v>2.1999999999999802E-3</v>
      </c>
      <c r="Q247">
        <v>-0.104388683308116</v>
      </c>
      <c r="R247">
        <v>0.118383764098553</v>
      </c>
      <c r="S247">
        <v>-0.20466968745451911</v>
      </c>
      <c r="T247">
        <v>-0.1041224947074397</v>
      </c>
      <c r="U247">
        <v>-0.14199430080100231</v>
      </c>
      <c r="V247">
        <v>-0.1000884545691179</v>
      </c>
    </row>
    <row r="248" spans="1:22" x14ac:dyDescent="0.2">
      <c r="A248" s="15">
        <v>41249.5</v>
      </c>
      <c r="B248" t="b">
        <v>1</v>
      </c>
      <c r="C248">
        <v>0</v>
      </c>
      <c r="D248">
        <v>0</v>
      </c>
      <c r="E248">
        <v>0</v>
      </c>
      <c r="F248">
        <v>0</v>
      </c>
      <c r="G248">
        <v>-5.0000000000001146E-3</v>
      </c>
      <c r="H248">
        <v>1.0000000000000011E-3</v>
      </c>
      <c r="I248">
        <v>-3.5000000000000591E-3</v>
      </c>
      <c r="J248">
        <v>-3.499999999999837E-3</v>
      </c>
      <c r="K248">
        <v>1.049999999999995E-2</v>
      </c>
      <c r="L248">
        <v>5.5999999999999939E-3</v>
      </c>
      <c r="M248">
        <v>7.7999999999999736E-3</v>
      </c>
      <c r="N248">
        <v>3.800000000000026E-3</v>
      </c>
      <c r="O248">
        <v>7.1999999999999842E-3</v>
      </c>
      <c r="Q248">
        <v>0.19055287254730049</v>
      </c>
      <c r="R248">
        <v>-4.3149946732064848E-2</v>
      </c>
      <c r="S248">
        <v>3.4141875341340722E-2</v>
      </c>
      <c r="T248">
        <v>0.16689652564991769</v>
      </c>
      <c r="U248">
        <v>0.10868622799500829</v>
      </c>
      <c r="V248">
        <v>0.18094829952804051</v>
      </c>
    </row>
    <row r="249" spans="1:22" x14ac:dyDescent="0.2">
      <c r="A249" s="15">
        <v>41284.5</v>
      </c>
      <c r="B249" t="b">
        <v>1</v>
      </c>
      <c r="C249">
        <v>0</v>
      </c>
      <c r="D249">
        <v>0</v>
      </c>
      <c r="E249">
        <v>0</v>
      </c>
      <c r="F249">
        <v>0</v>
      </c>
      <c r="G249">
        <v>-1.5000000000005009E-3</v>
      </c>
      <c r="H249">
        <v>-2.0000000000000022E-3</v>
      </c>
      <c r="I249">
        <v>-1.5000000000000009E-3</v>
      </c>
      <c r="J249">
        <v>-1.0000000000000011E-3</v>
      </c>
      <c r="K249">
        <v>0</v>
      </c>
      <c r="L249">
        <v>7.5000000000000067E-3</v>
      </c>
      <c r="M249">
        <v>-8.9999999999995639E-4</v>
      </c>
      <c r="N249">
        <v>2.9999999999996701E-4</v>
      </c>
      <c r="O249">
        <v>-1.99999999999978E-4</v>
      </c>
      <c r="Q249">
        <v>-8.2487833092272922E-3</v>
      </c>
      <c r="R249">
        <v>4.9022612661413938E-2</v>
      </c>
      <c r="S249">
        <v>-0.1214556135663543</v>
      </c>
      <c r="T249">
        <v>-1.906169589233286E-2</v>
      </c>
      <c r="U249">
        <v>-6.1725177478365367E-2</v>
      </c>
      <c r="V249">
        <v>-1.2121966656650329E-2</v>
      </c>
    </row>
    <row r="250" spans="1:22" x14ac:dyDescent="0.2">
      <c r="A250" s="15">
        <v>41312.5</v>
      </c>
      <c r="B250" t="b">
        <v>1</v>
      </c>
      <c r="C250">
        <v>0</v>
      </c>
      <c r="D250">
        <v>0</v>
      </c>
      <c r="E250">
        <v>1.0000000000005119E-2</v>
      </c>
      <c r="F250">
        <v>2.0000000000010228E-2</v>
      </c>
      <c r="G250">
        <v>1.749999999999963E-2</v>
      </c>
      <c r="H250">
        <v>6.0000000000000608E-3</v>
      </c>
      <c r="I250">
        <v>1.0000000000000011E-2</v>
      </c>
      <c r="J250">
        <v>1.4000000000000011E-2</v>
      </c>
      <c r="K250">
        <v>1.100000000000001E-2</v>
      </c>
      <c r="L250">
        <v>7.7500000000000346E-3</v>
      </c>
      <c r="M250">
        <v>8.0000000000002292E-4</v>
      </c>
      <c r="N250">
        <v>1.21E-2</v>
      </c>
      <c r="O250">
        <v>1.2500000000000291E-3</v>
      </c>
      <c r="Q250">
        <v>1.2021879835742769E-2</v>
      </c>
      <c r="R250">
        <v>-3.4738305120061597E-2</v>
      </c>
      <c r="S250">
        <v>7.9576023170112364E-2</v>
      </c>
      <c r="T250">
        <v>2.7271446343775101E-3</v>
      </c>
      <c r="U250">
        <v>-6.7587264696726379E-2</v>
      </c>
      <c r="V250">
        <v>1.194203813793138E-2</v>
      </c>
    </row>
    <row r="251" spans="1:22" x14ac:dyDescent="0.2">
      <c r="A251" s="15">
        <v>41318.4375</v>
      </c>
      <c r="B251" t="b">
        <v>0</v>
      </c>
      <c r="C251">
        <v>0</v>
      </c>
      <c r="D251">
        <v>0</v>
      </c>
      <c r="E251">
        <v>0</v>
      </c>
      <c r="F251">
        <v>0</v>
      </c>
      <c r="G251">
        <v>4.9000000000000377E-2</v>
      </c>
      <c r="H251">
        <v>2.200000000000002E-2</v>
      </c>
      <c r="I251">
        <v>1.9499999999999958E-2</v>
      </c>
      <c r="J251">
        <v>3.0499999999999972E-2</v>
      </c>
      <c r="K251">
        <v>2.2000000000000348E-3</v>
      </c>
      <c r="L251">
        <v>-9.9999999999988987E-5</v>
      </c>
      <c r="M251">
        <v>-4.9999999999994493E-4</v>
      </c>
      <c r="N251">
        <v>7.999999999999674E-4</v>
      </c>
      <c r="O251">
        <v>-5.9999999999993392E-4</v>
      </c>
      <c r="Q251">
        <v>0.34124308964976541</v>
      </c>
      <c r="R251">
        <v>0.70029513267729193</v>
      </c>
      <c r="S251">
        <v>-0.58305467113473952</v>
      </c>
      <c r="T251">
        <v>0.331466756794498</v>
      </c>
      <c r="U251">
        <v>0.39940142959380859</v>
      </c>
      <c r="V251">
        <v>0.32511971559029013</v>
      </c>
    </row>
    <row r="252" spans="1:22" x14ac:dyDescent="0.2">
      <c r="A252" s="15">
        <v>41340.5</v>
      </c>
      <c r="B252" t="b">
        <v>1</v>
      </c>
      <c r="C252">
        <v>1.9999999999996021E-2</v>
      </c>
      <c r="D252">
        <v>1.0000000000005119E-2</v>
      </c>
      <c r="E252">
        <v>2.0000000000010228E-2</v>
      </c>
      <c r="F252">
        <v>2.0000000000010228E-2</v>
      </c>
      <c r="G252">
        <v>4.7999999999999821E-2</v>
      </c>
      <c r="H252">
        <v>2.5000000000000019E-2</v>
      </c>
      <c r="I252">
        <v>2.75E-2</v>
      </c>
      <c r="J252">
        <v>3.7499999999999978E-2</v>
      </c>
      <c r="K252">
        <v>1.01E-2</v>
      </c>
      <c r="L252">
        <v>1.7600000000000001E-2</v>
      </c>
      <c r="M252">
        <v>9.6999999999999864E-3</v>
      </c>
      <c r="N252">
        <v>2.679999999999999E-2</v>
      </c>
      <c r="O252">
        <v>1.529999999999992E-2</v>
      </c>
      <c r="Q252">
        <v>-0.17078760507342849</v>
      </c>
      <c r="R252">
        <v>-0.3290331135441118</v>
      </c>
      <c r="S252">
        <v>0.39589518913734878</v>
      </c>
      <c r="T252">
        <v>-0.1330073085256345</v>
      </c>
      <c r="U252">
        <v>-6.937422505768609E-2</v>
      </c>
      <c r="V252">
        <v>-0.14756672630653611</v>
      </c>
    </row>
    <row r="253" spans="1:22" x14ac:dyDescent="0.2">
      <c r="A253" s="15">
        <v>41368.458333333343</v>
      </c>
      <c r="B253" t="b">
        <v>1</v>
      </c>
      <c r="C253">
        <v>0</v>
      </c>
      <c r="D253">
        <v>5.0000000000096634E-3</v>
      </c>
      <c r="E253">
        <v>0</v>
      </c>
      <c r="F253">
        <v>1.0000000000005119E-2</v>
      </c>
      <c r="G253">
        <v>4.0000000000000044E-3</v>
      </c>
      <c r="H253">
        <v>4.9999999999999489E-3</v>
      </c>
      <c r="I253">
        <v>3.5000000000000031E-3</v>
      </c>
      <c r="J253">
        <v>4.4999999999999476E-3</v>
      </c>
      <c r="K253">
        <v>9.9999999999999534E-3</v>
      </c>
      <c r="L253">
        <v>3.8500000000000201E-3</v>
      </c>
      <c r="M253">
        <v>4.500000000000004E-3</v>
      </c>
      <c r="N253">
        <v>1.2999999999999681E-3</v>
      </c>
      <c r="O253">
        <v>2.9000000000000141E-3</v>
      </c>
      <c r="Q253">
        <v>-0.19257605825725929</v>
      </c>
      <c r="R253">
        <v>-0.15892172037214181</v>
      </c>
      <c r="S253">
        <v>0.1161074289901691</v>
      </c>
      <c r="T253">
        <v>-0.1834303760148259</v>
      </c>
      <c r="U253">
        <v>-0.23063689683885971</v>
      </c>
      <c r="V253">
        <v>-0.18099100999211259</v>
      </c>
    </row>
    <row r="254" spans="1:22" x14ac:dyDescent="0.2">
      <c r="A254" s="15">
        <v>41403.458333333343</v>
      </c>
      <c r="B254" t="b">
        <v>1</v>
      </c>
      <c r="C254">
        <v>9.9999999999909051E-3</v>
      </c>
      <c r="D254">
        <v>0</v>
      </c>
      <c r="E254">
        <v>0</v>
      </c>
      <c r="F254">
        <v>0</v>
      </c>
      <c r="G254">
        <v>9.9999999999988987E-4</v>
      </c>
      <c r="H254">
        <v>3.0000000000000582E-3</v>
      </c>
      <c r="I254">
        <v>2.4999999999999471E-3</v>
      </c>
      <c r="J254">
        <v>1.0000000000000011E-3</v>
      </c>
      <c r="K254">
        <v>0</v>
      </c>
      <c r="L254">
        <v>9.000000000000008E-3</v>
      </c>
      <c r="M254">
        <v>-1.800000000000024E-3</v>
      </c>
      <c r="N254">
        <v>1.5000000000000009E-3</v>
      </c>
      <c r="O254">
        <v>1.0000000000000011E-3</v>
      </c>
      <c r="Q254">
        <v>-8.3943838873210552E-2</v>
      </c>
      <c r="R254">
        <v>-5.3287546777397672E-2</v>
      </c>
      <c r="S254">
        <v>-4.4965473698042047E-2</v>
      </c>
      <c r="T254">
        <v>-8.7375412697724641E-2</v>
      </c>
      <c r="U254">
        <v>-0.1639225311123482</v>
      </c>
      <c r="V254">
        <v>-7.7767470081994361E-2</v>
      </c>
    </row>
    <row r="255" spans="1:22" x14ac:dyDescent="0.2">
      <c r="A255" s="15">
        <v>41409.395833333343</v>
      </c>
      <c r="B255" t="b">
        <v>0</v>
      </c>
      <c r="C255">
        <v>0</v>
      </c>
      <c r="D255">
        <v>0</v>
      </c>
      <c r="E255">
        <v>9.9999999999909051E-3</v>
      </c>
      <c r="F255">
        <v>1.0000000000005119E-2</v>
      </c>
      <c r="G255">
        <v>4.0500000000000203E-2</v>
      </c>
      <c r="H255">
        <v>1.9499999999999958E-2</v>
      </c>
      <c r="I255">
        <v>2.3499999999999969E-2</v>
      </c>
      <c r="J255">
        <v>2.9499999999999971E-2</v>
      </c>
      <c r="K255">
        <v>-2.0000000000003351E-4</v>
      </c>
      <c r="L255">
        <v>3.9500000000000091E-3</v>
      </c>
      <c r="M255">
        <v>-5.9999999999998943E-4</v>
      </c>
      <c r="N255">
        <v>1.1799999999999981E-2</v>
      </c>
      <c r="O255">
        <v>-3.0000000000002253E-4</v>
      </c>
      <c r="Q255">
        <v>0.35653337574274252</v>
      </c>
      <c r="R255">
        <v>-5.3177347703556421E-2</v>
      </c>
      <c r="S255">
        <v>-0.10503857850699209</v>
      </c>
      <c r="T255">
        <v>0.31337523106321902</v>
      </c>
      <c r="U255">
        <v>0.1105781950379878</v>
      </c>
      <c r="V255">
        <v>0.35116393621262892</v>
      </c>
    </row>
    <row r="256" spans="1:22" x14ac:dyDescent="0.2">
      <c r="A256" s="15">
        <v>41431.458333333343</v>
      </c>
      <c r="B256" t="b">
        <v>1</v>
      </c>
      <c r="C256">
        <v>0</v>
      </c>
      <c r="D256">
        <v>0</v>
      </c>
      <c r="E256">
        <v>0</v>
      </c>
      <c r="F256">
        <v>-9.9999999999909051E-3</v>
      </c>
      <c r="G256">
        <v>-4.9999999999998934E-3</v>
      </c>
      <c r="H256">
        <v>-1.499999999999946E-3</v>
      </c>
      <c r="I256">
        <v>-4.0000000000000044E-3</v>
      </c>
      <c r="J256">
        <v>-5.0000000000001146E-3</v>
      </c>
      <c r="K256">
        <v>-2.0000000000003351E-4</v>
      </c>
      <c r="L256">
        <v>1.8900000000000031E-2</v>
      </c>
      <c r="M256">
        <v>9.9999999999988987E-5</v>
      </c>
      <c r="N256">
        <v>3.1499999999999861E-3</v>
      </c>
      <c r="O256">
        <v>1.99999999999978E-4</v>
      </c>
      <c r="Q256">
        <v>7.7957513194633066E-3</v>
      </c>
      <c r="R256">
        <v>2.945421363817147E-2</v>
      </c>
      <c r="S256">
        <v>-6.4712353610829609E-3</v>
      </c>
      <c r="T256">
        <v>-2.6529851242003129E-3</v>
      </c>
      <c r="U256">
        <v>-1.7257584465710352E-2</v>
      </c>
      <c r="V256">
        <v>7.7789472118183767E-4</v>
      </c>
    </row>
    <row r="257" spans="1:22" x14ac:dyDescent="0.2">
      <c r="A257" s="15">
        <v>41459.458333333343</v>
      </c>
      <c r="B257" t="b">
        <v>1</v>
      </c>
      <c r="C257">
        <v>-1.9999999999996021E-2</v>
      </c>
      <c r="D257">
        <v>-5.499999999999261E-2</v>
      </c>
      <c r="E257">
        <v>-9.0000000000003411E-2</v>
      </c>
      <c r="F257">
        <v>-0.10999999999998521</v>
      </c>
      <c r="G257">
        <v>-6.999999999999984E-2</v>
      </c>
      <c r="H257">
        <v>-5.9000000000000052E-2</v>
      </c>
      <c r="I257">
        <v>-7.4500000000000011E-2</v>
      </c>
      <c r="J257">
        <v>-9.9000000000000199E-2</v>
      </c>
      <c r="K257">
        <v>7.0000000000003393E-4</v>
      </c>
      <c r="L257">
        <v>-1.9500000000000021E-2</v>
      </c>
      <c r="M257">
        <v>2.4999999999999471E-3</v>
      </c>
      <c r="N257">
        <v>-6.0650000000000037E-2</v>
      </c>
      <c r="O257">
        <v>8.5000000000001741E-4</v>
      </c>
      <c r="Q257">
        <v>0.70111429293683614</v>
      </c>
      <c r="R257">
        <v>1.0381523310092811</v>
      </c>
      <c r="S257">
        <v>-1.031599544443075</v>
      </c>
      <c r="T257">
        <v>0.6399744581063942</v>
      </c>
      <c r="U257">
        <v>0.42020779452229817</v>
      </c>
      <c r="V257">
        <v>0.69047155347175249</v>
      </c>
    </row>
    <row r="258" spans="1:22" x14ac:dyDescent="0.2">
      <c r="A258" s="15">
        <v>41487.458333333343</v>
      </c>
      <c r="B258" t="b">
        <v>1</v>
      </c>
      <c r="C258">
        <v>1.9999999999996021E-2</v>
      </c>
      <c r="D258">
        <v>1.9999999999996021E-2</v>
      </c>
      <c r="E258">
        <v>1.9999999999996021E-2</v>
      </c>
      <c r="F258">
        <v>2.0000000000010228E-2</v>
      </c>
      <c r="G258">
        <v>1.9500000000000291E-2</v>
      </c>
      <c r="H258">
        <v>0</v>
      </c>
      <c r="I258">
        <v>2.1999999999999961E-2</v>
      </c>
      <c r="J258">
        <v>2.8000000000000021E-2</v>
      </c>
      <c r="K258">
        <v>2.1000000000000071E-2</v>
      </c>
      <c r="L258">
        <v>2.5950000000000029E-2</v>
      </c>
      <c r="M258">
        <v>2.6349999999999929E-2</v>
      </c>
      <c r="N258">
        <v>2.4099999999999951E-2</v>
      </c>
      <c r="O258">
        <v>2.8399999999999981E-2</v>
      </c>
      <c r="Q258">
        <v>-0.2391936899865641</v>
      </c>
      <c r="R258">
        <v>-0.26429202399272889</v>
      </c>
      <c r="S258">
        <v>0.22020287273657149</v>
      </c>
      <c r="T258">
        <v>-0.2134769830704499</v>
      </c>
      <c r="U258">
        <v>-0.1402472764236791</v>
      </c>
      <c r="V258">
        <v>-0.22798424842244461</v>
      </c>
    </row>
    <row r="259" spans="1:22" x14ac:dyDescent="0.2">
      <c r="A259" s="15">
        <v>41493.395833333343</v>
      </c>
      <c r="B259" t="b">
        <v>0</v>
      </c>
      <c r="C259">
        <v>0</v>
      </c>
      <c r="D259">
        <v>1.0000000000005119E-2</v>
      </c>
      <c r="E259">
        <v>9.9999999999909051E-3</v>
      </c>
      <c r="F259">
        <v>1.500000000000057E-2</v>
      </c>
      <c r="G259">
        <v>3.2500000000000202E-2</v>
      </c>
      <c r="H259">
        <v>2.8000000000000021E-2</v>
      </c>
      <c r="I259">
        <v>2.8000000000000021E-2</v>
      </c>
      <c r="J259">
        <v>3.3999999999999593E-2</v>
      </c>
      <c r="K259">
        <v>6.9999999999997842E-4</v>
      </c>
      <c r="L259">
        <v>9.000000000000008E-3</v>
      </c>
      <c r="M259">
        <v>4.049999999999998E-3</v>
      </c>
      <c r="N259">
        <v>2.0299999999999981E-2</v>
      </c>
      <c r="O259">
        <v>7.5999999999999401E-3</v>
      </c>
      <c r="Q259">
        <v>-0.66879656161779621</v>
      </c>
      <c r="R259">
        <v>-0.47368813659861608</v>
      </c>
      <c r="S259">
        <v>0.76853315617160689</v>
      </c>
      <c r="T259">
        <v>-0.57993401904627717</v>
      </c>
      <c r="U259">
        <v>-0.3563041919379657</v>
      </c>
      <c r="V259">
        <v>-0.63139099340958182</v>
      </c>
    </row>
    <row r="260" spans="1:22" x14ac:dyDescent="0.2">
      <c r="A260" s="15">
        <v>41522.458333333343</v>
      </c>
      <c r="B260" t="b">
        <v>1</v>
      </c>
      <c r="C260">
        <v>0</v>
      </c>
      <c r="D260">
        <v>9.9999999999909051E-3</v>
      </c>
      <c r="E260">
        <v>2.0000000000010228E-2</v>
      </c>
      <c r="F260">
        <v>3.000000000000114E-2</v>
      </c>
      <c r="G260">
        <v>2.8000000000000021E-2</v>
      </c>
      <c r="H260">
        <v>2.6999999999999968E-2</v>
      </c>
      <c r="I260">
        <v>2.7000000000000021E-2</v>
      </c>
      <c r="J260">
        <v>3.2999999999999918E-2</v>
      </c>
      <c r="K260">
        <v>0</v>
      </c>
      <c r="L260">
        <v>1.6499999999999959E-2</v>
      </c>
      <c r="M260">
        <v>1.2999999999999681E-3</v>
      </c>
      <c r="N260">
        <v>3.9500000000000091E-2</v>
      </c>
      <c r="O260">
        <v>2.9000000000000141E-3</v>
      </c>
      <c r="Q260">
        <v>-0.20756465016677339</v>
      </c>
      <c r="R260">
        <v>-0.27223784346421809</v>
      </c>
      <c r="S260">
        <v>0.2238138803578025</v>
      </c>
      <c r="T260">
        <v>-0.1895143685184166</v>
      </c>
      <c r="U260">
        <v>-0.1762629505977884</v>
      </c>
      <c r="V260">
        <v>-0.19434349861819561</v>
      </c>
    </row>
    <row r="261" spans="1:22" x14ac:dyDescent="0.2">
      <c r="A261" s="15">
        <v>41557.458333333343</v>
      </c>
      <c r="B261" t="b">
        <v>1</v>
      </c>
      <c r="C261">
        <v>0</v>
      </c>
      <c r="D261">
        <v>0</v>
      </c>
      <c r="E261">
        <v>0</v>
      </c>
      <c r="F261">
        <v>0</v>
      </c>
      <c r="G261">
        <v>-6.5000000000003944E-3</v>
      </c>
      <c r="H261">
        <v>-7.0000000000001172E-3</v>
      </c>
      <c r="I261">
        <v>-6.9999999999999507E-3</v>
      </c>
      <c r="J261">
        <v>-8.0000000000002292E-3</v>
      </c>
      <c r="K261">
        <v>-4.0000000000001151E-4</v>
      </c>
      <c r="L261">
        <v>4.0000000000000044E-3</v>
      </c>
      <c r="M261">
        <v>4.0000000000001151E-4</v>
      </c>
      <c r="N261">
        <v>7.5000000000002842E-4</v>
      </c>
      <c r="O261">
        <v>-9.9999999999988987E-5</v>
      </c>
      <c r="Q261">
        <v>-6.2695926818719272E-2</v>
      </c>
      <c r="R261">
        <v>3.5358595453541142E-2</v>
      </c>
      <c r="S261">
        <v>6.2705753273490927E-3</v>
      </c>
      <c r="T261">
        <v>-4.1558016466069603E-2</v>
      </c>
      <c r="U261">
        <v>1.6328127935366869E-2</v>
      </c>
      <c r="V261">
        <v>-5.4459730404914808E-2</v>
      </c>
    </row>
    <row r="262" spans="1:22" x14ac:dyDescent="0.2">
      <c r="A262" s="15">
        <v>41585.5</v>
      </c>
      <c r="B262" t="b">
        <v>1</v>
      </c>
      <c r="C262">
        <v>0</v>
      </c>
      <c r="D262">
        <v>0</v>
      </c>
      <c r="E262">
        <v>0</v>
      </c>
      <c r="F262">
        <v>0</v>
      </c>
      <c r="G262">
        <v>4.9999999999972289E-4</v>
      </c>
      <c r="H262">
        <v>9.9999999999994538E-4</v>
      </c>
      <c r="I262">
        <v>5.5511151231257827E-17</v>
      </c>
      <c r="J262">
        <v>0</v>
      </c>
      <c r="K262">
        <v>1.000000000000445E-4</v>
      </c>
      <c r="L262">
        <v>-5.9999999999998943E-4</v>
      </c>
      <c r="M262">
        <v>4.0000000000001151E-4</v>
      </c>
      <c r="N262">
        <v>-4.7000000000000366E-3</v>
      </c>
      <c r="O262">
        <v>8.0000000000002292E-4</v>
      </c>
      <c r="Q262">
        <v>0.34965070587293212</v>
      </c>
      <c r="R262">
        <v>5.9470712427771133E-2</v>
      </c>
      <c r="S262">
        <v>-0.11510882164490251</v>
      </c>
      <c r="T262">
        <v>0.32392258648098959</v>
      </c>
      <c r="U262">
        <v>0.26224419524805848</v>
      </c>
      <c r="V262">
        <v>0.34328109490706987</v>
      </c>
    </row>
    <row r="263" spans="1:22" x14ac:dyDescent="0.2">
      <c r="A263" s="15">
        <v>41591.4375</v>
      </c>
      <c r="B263" t="b">
        <v>0</v>
      </c>
      <c r="C263">
        <v>0</v>
      </c>
      <c r="D263">
        <v>-1.000000000001933E-2</v>
      </c>
      <c r="E263">
        <v>-9.9999999999909051E-3</v>
      </c>
      <c r="F263">
        <v>0</v>
      </c>
      <c r="G263">
        <v>2.7000000000000138E-2</v>
      </c>
      <c r="H263">
        <v>4.0000000000000044E-3</v>
      </c>
      <c r="I263">
        <v>9.000000000000119E-3</v>
      </c>
      <c r="J263">
        <v>2.8999999999999911E-2</v>
      </c>
      <c r="K263">
        <v>4.0000000000001151E-4</v>
      </c>
      <c r="L263">
        <v>-3.599999999999937E-3</v>
      </c>
      <c r="M263">
        <v>-8.0000000000002292E-4</v>
      </c>
      <c r="N263">
        <v>4.0999999999999934E-3</v>
      </c>
      <c r="O263">
        <v>6.4999999999998392E-4</v>
      </c>
      <c r="Q263">
        <v>-0.27796577134222389</v>
      </c>
      <c r="R263">
        <v>-0.1900576684237798</v>
      </c>
      <c r="S263">
        <v>0.17257342573819301</v>
      </c>
      <c r="T263">
        <v>-0.25939693513248591</v>
      </c>
      <c r="U263">
        <v>-0.18522276949738631</v>
      </c>
      <c r="V263">
        <v>-0.26326232154565332</v>
      </c>
    </row>
    <row r="264" spans="1:22" x14ac:dyDescent="0.2">
      <c r="A264" s="15">
        <v>41613.5</v>
      </c>
      <c r="B264" t="b">
        <v>1</v>
      </c>
      <c r="C264">
        <v>0</v>
      </c>
      <c r="D264">
        <v>0</v>
      </c>
      <c r="E264">
        <v>0</v>
      </c>
      <c r="F264">
        <v>-9.9999999999909051E-3</v>
      </c>
      <c r="G264">
        <v>1.6999999999999901E-2</v>
      </c>
      <c r="H264">
        <v>1.0999999999999951E-2</v>
      </c>
      <c r="I264">
        <v>1.349999999999996E-2</v>
      </c>
      <c r="J264">
        <v>1.550000000000029E-2</v>
      </c>
      <c r="L264">
        <v>0</v>
      </c>
      <c r="M264">
        <v>2.0000000000003351E-4</v>
      </c>
      <c r="N264">
        <v>-2.4499999999999522E-3</v>
      </c>
      <c r="O264">
        <v>1.000000000000445E-4</v>
      </c>
      <c r="Q264">
        <v>0.115233937618882</v>
      </c>
      <c r="R264">
        <v>3.0061626560371479E-2</v>
      </c>
      <c r="S264">
        <v>3.0588523424619041E-2</v>
      </c>
      <c r="T264">
        <v>9.4926065481899968E-2</v>
      </c>
      <c r="U264">
        <v>-4.1181637256158872E-2</v>
      </c>
      <c r="V264">
        <v>0.12137508691932911</v>
      </c>
    </row>
    <row r="265" spans="1:22" x14ac:dyDescent="0.2">
      <c r="A265" s="15">
        <v>41648.5</v>
      </c>
      <c r="B265" t="b">
        <v>1</v>
      </c>
      <c r="C265">
        <v>0</v>
      </c>
      <c r="D265">
        <v>-9.9999999999909051E-3</v>
      </c>
      <c r="E265">
        <v>-1.9999999999996021E-2</v>
      </c>
      <c r="F265">
        <v>-1.999999999998181E-2</v>
      </c>
      <c r="G265">
        <v>-6.0000000000002274E-3</v>
      </c>
      <c r="H265">
        <v>0</v>
      </c>
      <c r="I265">
        <v>-1.4000000000000011E-2</v>
      </c>
      <c r="J265">
        <v>-1.3500000000000069E-2</v>
      </c>
      <c r="K265">
        <v>-9.9999999999988987E-5</v>
      </c>
      <c r="L265">
        <v>-6.6999999999999282E-3</v>
      </c>
      <c r="M265">
        <v>-1.2000000000000339E-3</v>
      </c>
      <c r="N265">
        <v>-1.0900000000000021E-2</v>
      </c>
      <c r="O265">
        <v>-1.0000000000000011E-3</v>
      </c>
      <c r="Q265">
        <v>-2.992779940791479E-2</v>
      </c>
      <c r="R265">
        <v>3.6284470644833533E-2</v>
      </c>
      <c r="S265">
        <v>-2.4307982253326092E-2</v>
      </c>
      <c r="T265">
        <v>-3.4088216754298628E-2</v>
      </c>
      <c r="U265">
        <v>-2.695258046719573E-2</v>
      </c>
      <c r="V265">
        <v>-3.6518021901088098E-2</v>
      </c>
    </row>
    <row r="266" spans="1:22" x14ac:dyDescent="0.2">
      <c r="A266" s="15">
        <v>41676.5</v>
      </c>
      <c r="B266" t="b">
        <v>1</v>
      </c>
      <c r="C266">
        <v>0</v>
      </c>
      <c r="D266">
        <v>0</v>
      </c>
      <c r="E266">
        <v>9.9999999999909051E-3</v>
      </c>
      <c r="F266">
        <v>1.0000000000005119E-2</v>
      </c>
      <c r="G266">
        <v>4.9999999999998934E-3</v>
      </c>
      <c r="H266">
        <v>-1.5000000000000009E-3</v>
      </c>
      <c r="I266">
        <v>4.500000000000004E-3</v>
      </c>
      <c r="J266">
        <v>6.5000000000001723E-3</v>
      </c>
      <c r="L266">
        <v>2.6999999999999802E-3</v>
      </c>
      <c r="M266">
        <v>1.99999999999978E-4</v>
      </c>
      <c r="N266">
        <v>1.1300000000000089E-2</v>
      </c>
      <c r="O266">
        <v>1.000000000000445E-4</v>
      </c>
      <c r="Q266">
        <v>-0.10841368622948271</v>
      </c>
      <c r="R266">
        <v>-0.2289985332415512</v>
      </c>
      <c r="S266">
        <v>0.1381067324030596</v>
      </c>
      <c r="T266">
        <v>-0.10323917370465099</v>
      </c>
      <c r="U266">
        <v>-0.11882406386644109</v>
      </c>
      <c r="V266">
        <v>-0.10336330970199011</v>
      </c>
    </row>
    <row r="267" spans="1:22" x14ac:dyDescent="0.2">
      <c r="A267" s="15">
        <v>41682.4375</v>
      </c>
      <c r="B267" t="b">
        <v>0</v>
      </c>
      <c r="C267">
        <v>0</v>
      </c>
      <c r="D267">
        <v>0</v>
      </c>
      <c r="E267">
        <v>0</v>
      </c>
      <c r="F267">
        <v>0</v>
      </c>
      <c r="G267">
        <v>2.3000000000000131E-2</v>
      </c>
      <c r="H267">
        <v>-5.9999999999999498E-3</v>
      </c>
      <c r="I267">
        <v>-2.0000000000000022E-3</v>
      </c>
      <c r="J267">
        <v>3.6500000000000199E-2</v>
      </c>
      <c r="K267">
        <v>-1.5999999999999901E-3</v>
      </c>
      <c r="L267">
        <v>-2.6500000000000412E-3</v>
      </c>
      <c r="M267">
        <v>-6.9999999999997842E-4</v>
      </c>
      <c r="N267">
        <v>1.6499999999999959E-2</v>
      </c>
      <c r="O267">
        <v>-5.0000000000000044E-4</v>
      </c>
      <c r="Q267">
        <v>-0.26303938208593541</v>
      </c>
      <c r="R267">
        <v>-0.76327000066364192</v>
      </c>
      <c r="S267">
        <v>0.46682312185519242</v>
      </c>
      <c r="T267">
        <v>-0.23247892755512109</v>
      </c>
      <c r="U267">
        <v>-0.16169570581166681</v>
      </c>
      <c r="V267">
        <v>-0.25620795082909348</v>
      </c>
    </row>
    <row r="268" spans="1:22" x14ac:dyDescent="0.2">
      <c r="A268" s="15">
        <v>41704.5</v>
      </c>
      <c r="B268" t="b">
        <v>1</v>
      </c>
      <c r="C268">
        <v>0</v>
      </c>
      <c r="D268">
        <v>0</v>
      </c>
      <c r="E268">
        <v>0</v>
      </c>
      <c r="F268">
        <v>-9.9999999999909051E-3</v>
      </c>
      <c r="G268">
        <v>4.9999999999972289E-4</v>
      </c>
      <c r="H268">
        <v>-7.0000000000000062E-3</v>
      </c>
      <c r="I268">
        <v>-4.0000000000000044E-3</v>
      </c>
      <c r="J268">
        <v>-2.9999999999998921E-3</v>
      </c>
      <c r="K268">
        <v>0</v>
      </c>
      <c r="L268">
        <v>0</v>
      </c>
      <c r="M268">
        <v>2.2000000000000348E-3</v>
      </c>
      <c r="N268">
        <v>-3.399999999999959E-3</v>
      </c>
      <c r="O268">
        <v>9.000000000000119E-4</v>
      </c>
      <c r="Q268">
        <v>0.19569116588911581</v>
      </c>
      <c r="R268">
        <v>8.5121911870459144E-2</v>
      </c>
      <c r="S268">
        <v>-6.8803568533837733E-2</v>
      </c>
      <c r="T268">
        <v>0.1651803548456883</v>
      </c>
      <c r="U268">
        <v>-1.644446635407348E-2</v>
      </c>
      <c r="V268">
        <v>0.2002306264977278</v>
      </c>
    </row>
    <row r="269" spans="1:22" x14ac:dyDescent="0.2">
      <c r="A269" s="15">
        <v>41739.458333333343</v>
      </c>
      <c r="B269" t="b">
        <v>1</v>
      </c>
      <c r="C269">
        <v>0</v>
      </c>
      <c r="D269">
        <v>0</v>
      </c>
      <c r="E269">
        <v>0</v>
      </c>
      <c r="F269">
        <v>0</v>
      </c>
      <c r="G269">
        <v>1.049999999999995E-2</v>
      </c>
      <c r="H269">
        <v>1.0000000000000059E-2</v>
      </c>
      <c r="I269">
        <v>1.100000000000001E-2</v>
      </c>
      <c r="J269">
        <v>9.9999999999997868E-3</v>
      </c>
      <c r="K269">
        <v>-9.9999999999988987E-5</v>
      </c>
      <c r="L269">
        <v>5.0000000000000036E-3</v>
      </c>
      <c r="M269">
        <v>-1.000000000000445E-4</v>
      </c>
      <c r="N269">
        <v>-6.3000000000000833E-3</v>
      </c>
      <c r="O269">
        <v>-1.99999999999978E-4</v>
      </c>
      <c r="Q269">
        <v>0.28797716086114628</v>
      </c>
      <c r="R269">
        <v>5.4461288447875227E-2</v>
      </c>
      <c r="S269">
        <v>-7.1496666534663689E-2</v>
      </c>
      <c r="T269">
        <v>0.25131225269797142</v>
      </c>
      <c r="U269">
        <v>0.1228779977479917</v>
      </c>
      <c r="V269">
        <v>0.28372524316421283</v>
      </c>
    </row>
    <row r="270" spans="1:22" x14ac:dyDescent="0.2">
      <c r="A270" s="15">
        <v>41767.458333333343</v>
      </c>
      <c r="B270" t="b">
        <v>1</v>
      </c>
      <c r="C270">
        <v>0</v>
      </c>
      <c r="D270">
        <v>0</v>
      </c>
      <c r="E270">
        <v>-1.0000000000005119E-2</v>
      </c>
      <c r="F270">
        <v>0</v>
      </c>
      <c r="G270">
        <v>-4.4999999999997256E-3</v>
      </c>
      <c r="H270">
        <v>-5.0000000000000036E-3</v>
      </c>
      <c r="I270">
        <v>-4.0000000000000044E-3</v>
      </c>
      <c r="J270">
        <v>-3.9999999999997824E-3</v>
      </c>
      <c r="K270">
        <v>5.0000000000000044E-4</v>
      </c>
      <c r="L270">
        <v>-1.000000000001E-4</v>
      </c>
      <c r="M270">
        <v>1.100000000000045E-3</v>
      </c>
      <c r="N270">
        <v>-2.7500000000000302E-3</v>
      </c>
      <c r="O270">
        <v>0</v>
      </c>
      <c r="Q270">
        <v>5.5148073972532068E-2</v>
      </c>
      <c r="R270">
        <v>-2.4342745981950738E-2</v>
      </c>
      <c r="S270">
        <v>-1.473470172263092E-2</v>
      </c>
      <c r="T270">
        <v>2.9347994741442559E-2</v>
      </c>
      <c r="U270">
        <v>-9.3900819377040534E-2</v>
      </c>
      <c r="V270">
        <v>5.1381106204757998E-2</v>
      </c>
    </row>
    <row r="271" spans="1:22" x14ac:dyDescent="0.2">
      <c r="A271" s="15">
        <v>41773.395833333343</v>
      </c>
      <c r="B271" t="b">
        <v>0</v>
      </c>
      <c r="C271">
        <v>0</v>
      </c>
      <c r="D271">
        <v>-1.999999999998181E-2</v>
      </c>
      <c r="E271">
        <v>-3.000000000000114E-2</v>
      </c>
      <c r="F271">
        <v>-3.9999999999992042E-2</v>
      </c>
      <c r="G271">
        <v>0</v>
      </c>
      <c r="H271">
        <v>-8.0000000000000626E-3</v>
      </c>
      <c r="I271">
        <v>-1.050000000000006E-2</v>
      </c>
      <c r="J271">
        <v>-1.09999999999999E-2</v>
      </c>
      <c r="K271">
        <v>-1.000000000000445E-4</v>
      </c>
      <c r="L271">
        <v>-1.859999999999995E-2</v>
      </c>
      <c r="M271">
        <v>-3.0000000000002253E-4</v>
      </c>
      <c r="N271">
        <v>-2.864999999999995E-2</v>
      </c>
      <c r="O271">
        <v>-6.0000000000004494E-4</v>
      </c>
      <c r="Q271">
        <v>-6.2053988959974049E-2</v>
      </c>
      <c r="R271">
        <v>0.16534496556088379</v>
      </c>
      <c r="S271">
        <v>-0.21427304192535249</v>
      </c>
      <c r="T271">
        <v>-4.0389045293409247E-2</v>
      </c>
      <c r="U271">
        <v>4.441183901462864E-2</v>
      </c>
      <c r="V271">
        <v>-5.6372209557252972E-2</v>
      </c>
    </row>
    <row r="272" spans="1:22" x14ac:dyDescent="0.2">
      <c r="A272" s="15">
        <v>41795.458333333343</v>
      </c>
      <c r="B272" t="b">
        <v>1</v>
      </c>
      <c r="C272">
        <v>0</v>
      </c>
      <c r="D272">
        <v>0</v>
      </c>
      <c r="E272">
        <v>-9.9999999999909051E-3</v>
      </c>
      <c r="F272">
        <v>0</v>
      </c>
      <c r="G272">
        <v>-8.49999999999973E-3</v>
      </c>
      <c r="H272">
        <v>-9.0000000000000635E-3</v>
      </c>
      <c r="I272">
        <v>-8.0000000000000071E-3</v>
      </c>
      <c r="J272">
        <v>-6.4999999999999503E-3</v>
      </c>
      <c r="K272">
        <v>-5.0000000000000036E-3</v>
      </c>
      <c r="L272">
        <v>-1.2499999999999729E-3</v>
      </c>
      <c r="M272">
        <v>1.0999999999999901E-3</v>
      </c>
      <c r="N272">
        <v>-3.949999999999898E-3</v>
      </c>
      <c r="O272">
        <v>-3.0999999999999921E-3</v>
      </c>
      <c r="Q272">
        <v>0.3529026196824816</v>
      </c>
      <c r="R272">
        <v>1.231754636035731E-2</v>
      </c>
      <c r="S272">
        <v>-5.3691276457612958E-2</v>
      </c>
      <c r="T272">
        <v>0.29089449887067081</v>
      </c>
      <c r="U272">
        <v>0.1353550486281847</v>
      </c>
      <c r="V272">
        <v>0.32917161833904629</v>
      </c>
    </row>
    <row r="273" spans="1:22" x14ac:dyDescent="0.2">
      <c r="A273" s="15">
        <v>41830.458333333343</v>
      </c>
      <c r="B273" t="b">
        <v>1</v>
      </c>
      <c r="C273">
        <v>0</v>
      </c>
      <c r="D273">
        <v>0</v>
      </c>
      <c r="E273">
        <v>0</v>
      </c>
      <c r="F273">
        <v>0</v>
      </c>
      <c r="G273">
        <v>-9.9999999999988987E-4</v>
      </c>
      <c r="H273">
        <v>4.0000000000000044E-3</v>
      </c>
      <c r="I273">
        <v>3.0000000000001141E-3</v>
      </c>
      <c r="J273">
        <v>5.0000000000016698E-4</v>
      </c>
      <c r="K273">
        <v>-1.0000000000000011E-3</v>
      </c>
      <c r="L273">
        <v>1.0999999999999901E-3</v>
      </c>
      <c r="M273">
        <v>1.6999999999999791E-3</v>
      </c>
      <c r="N273">
        <v>1.3000000000000791E-3</v>
      </c>
      <c r="O273">
        <v>-9.9999999999988987E-5</v>
      </c>
      <c r="Q273">
        <v>-1.1340654367927531E-2</v>
      </c>
      <c r="R273">
        <v>-3.1421838436060057E-2</v>
      </c>
      <c r="S273">
        <v>-3.7985595150459517E-2</v>
      </c>
      <c r="T273">
        <v>1.1264718057191201E-3</v>
      </c>
      <c r="U273">
        <v>6.3146521553562707E-2</v>
      </c>
      <c r="V273">
        <v>-4.6542388488433062E-3</v>
      </c>
    </row>
    <row r="274" spans="1:22" x14ac:dyDescent="0.2">
      <c r="A274" s="15">
        <v>41858.458333333343</v>
      </c>
      <c r="B274" t="b">
        <v>1</v>
      </c>
      <c r="C274">
        <v>0</v>
      </c>
      <c r="D274">
        <v>0</v>
      </c>
      <c r="E274">
        <v>0</v>
      </c>
      <c r="F274">
        <v>-1.0000000000005119E-2</v>
      </c>
      <c r="G274">
        <v>-4.4999999999997256E-3</v>
      </c>
      <c r="H274">
        <v>-5.0000000000000036E-3</v>
      </c>
      <c r="I274">
        <v>-4.4999999999999476E-3</v>
      </c>
      <c r="J274">
        <v>-4.0000000000000044E-3</v>
      </c>
      <c r="L274">
        <v>-2.4000000000000692E-3</v>
      </c>
      <c r="M274">
        <v>-3.800000000000026E-3</v>
      </c>
      <c r="N274">
        <v>-1.4499999999997291E-3</v>
      </c>
      <c r="O274">
        <v>-2.8000000000000251E-3</v>
      </c>
      <c r="Q274">
        <v>7.9682790837068751E-2</v>
      </c>
      <c r="R274">
        <v>3.7790515030597049E-2</v>
      </c>
      <c r="S274">
        <v>-2.076689171596513E-2</v>
      </c>
      <c r="T274">
        <v>8.6702751018378876E-2</v>
      </c>
      <c r="U274">
        <v>0.15734128637313921</v>
      </c>
      <c r="V274">
        <v>7.9107239719860445E-2</v>
      </c>
    </row>
    <row r="275" spans="1:22" x14ac:dyDescent="0.2">
      <c r="A275" s="15">
        <v>41864.395833333343</v>
      </c>
      <c r="B275" t="b">
        <v>0</v>
      </c>
      <c r="C275">
        <v>-3.000000000000114E-2</v>
      </c>
      <c r="D275">
        <v>-6.9999999999993179E-2</v>
      </c>
      <c r="E275">
        <v>-9.9999999999994316E-2</v>
      </c>
      <c r="F275">
        <v>-9.9999999999994316E-2</v>
      </c>
      <c r="G275">
        <v>-2.7000000000000138E-2</v>
      </c>
      <c r="H275">
        <v>-3.3999999999999968E-2</v>
      </c>
      <c r="I275">
        <v>-7.5999999999999956E-2</v>
      </c>
      <c r="J275">
        <v>-6.2500000000000222E-2</v>
      </c>
      <c r="K275">
        <v>-4.0999999999999934E-3</v>
      </c>
      <c r="L275">
        <v>-6.4099999999999935E-2</v>
      </c>
      <c r="M275">
        <v>-8.1500000000000461E-3</v>
      </c>
      <c r="N275">
        <v>-7.8099999999999836E-2</v>
      </c>
      <c r="O275">
        <v>-1.4550000000000059E-2</v>
      </c>
      <c r="Q275">
        <v>0.35061959800907522</v>
      </c>
      <c r="R275">
        <v>0.57101777217716432</v>
      </c>
      <c r="S275">
        <v>-0.4983076836658995</v>
      </c>
      <c r="T275">
        <v>0.35227938961293148</v>
      </c>
      <c r="U275">
        <v>0.56819897228444916</v>
      </c>
      <c r="V275">
        <v>0.32343078238807271</v>
      </c>
    </row>
    <row r="276" spans="1:22" x14ac:dyDescent="0.2">
      <c r="A276" s="15">
        <v>41886.458333333343</v>
      </c>
      <c r="B276" t="b">
        <v>1</v>
      </c>
      <c r="C276">
        <v>-9.9999999999909051E-3</v>
      </c>
      <c r="D276">
        <v>-1.0000000000005119E-2</v>
      </c>
      <c r="E276">
        <v>0</v>
      </c>
      <c r="F276">
        <v>9.9999999999909051E-3</v>
      </c>
      <c r="G276">
        <v>1.1000000000000121E-2</v>
      </c>
      <c r="H276">
        <v>6.0000000000001164E-3</v>
      </c>
      <c r="I276">
        <v>6.5000000000000613E-3</v>
      </c>
      <c r="J276">
        <v>6.4999999999999503E-3</v>
      </c>
      <c r="K276">
        <v>0</v>
      </c>
      <c r="L276">
        <v>-3.900000000000015E-3</v>
      </c>
      <c r="M276">
        <v>-2.9000000000000692E-3</v>
      </c>
      <c r="N276">
        <v>4.9999999999994493E-4</v>
      </c>
      <c r="O276">
        <v>-3.1999999999999811E-3</v>
      </c>
      <c r="Q276">
        <v>0.12334036244044461</v>
      </c>
      <c r="R276">
        <v>-1.878816351228707E-2</v>
      </c>
      <c r="S276">
        <v>-2.4317587815133379E-2</v>
      </c>
      <c r="T276">
        <v>0.13092373862252771</v>
      </c>
      <c r="U276">
        <v>0.21157072012761091</v>
      </c>
      <c r="V276">
        <v>0.12263894386967419</v>
      </c>
    </row>
    <row r="277" spans="1:22" x14ac:dyDescent="0.2">
      <c r="A277" s="15">
        <v>41921.458333333343</v>
      </c>
      <c r="B277" t="b">
        <v>1</v>
      </c>
      <c r="C277">
        <v>0</v>
      </c>
      <c r="D277">
        <v>-9.9999999999909051E-3</v>
      </c>
      <c r="E277">
        <v>0</v>
      </c>
      <c r="F277">
        <v>0</v>
      </c>
      <c r="G277">
        <v>-1.7500000000000071E-2</v>
      </c>
      <c r="H277">
        <v>-5.00000000000006E-3</v>
      </c>
      <c r="I277">
        <v>-1.0000000000000011E-2</v>
      </c>
      <c r="J277">
        <v>-1.3499999999999851E-2</v>
      </c>
      <c r="K277">
        <v>-3.4000000000000141E-3</v>
      </c>
      <c r="L277">
        <v>-3.600000000000048E-3</v>
      </c>
      <c r="M277">
        <v>-4.0000000000006702E-4</v>
      </c>
      <c r="N277">
        <v>-5.0999999999999934E-3</v>
      </c>
      <c r="O277">
        <v>-5.9999999999998943E-4</v>
      </c>
      <c r="Q277">
        <v>-0.32890311538903921</v>
      </c>
      <c r="R277">
        <v>3.8100076661038429E-2</v>
      </c>
      <c r="S277">
        <v>5.5521284584777668E-2</v>
      </c>
      <c r="T277">
        <v>-0.29666147725390601</v>
      </c>
      <c r="U277">
        <v>-0.20764181146159899</v>
      </c>
      <c r="V277">
        <v>-0.32061832760689413</v>
      </c>
    </row>
    <row r="278" spans="1:22" x14ac:dyDescent="0.2">
      <c r="A278" s="15">
        <v>41949.5</v>
      </c>
      <c r="B278" t="b">
        <v>1</v>
      </c>
      <c r="C278">
        <v>-1.000000000001933E-2</v>
      </c>
      <c r="D278">
        <v>-4.9999999999954534E-3</v>
      </c>
      <c r="E278">
        <v>0</v>
      </c>
      <c r="F278">
        <v>0</v>
      </c>
      <c r="G278">
        <v>-1.5000000000000571E-3</v>
      </c>
      <c r="H278">
        <v>-6.0000000000000053E-3</v>
      </c>
      <c r="I278">
        <v>-1.9999999999998912E-3</v>
      </c>
      <c r="J278">
        <v>-1.9999999999997802E-3</v>
      </c>
      <c r="K278">
        <v>-3.900000000000015E-3</v>
      </c>
      <c r="L278">
        <v>-4.6000000000000476E-3</v>
      </c>
      <c r="M278">
        <v>-3.2999999999999701E-3</v>
      </c>
      <c r="N278">
        <v>-4.0000000000000044E-3</v>
      </c>
      <c r="O278">
        <v>-2.9999999999999472E-3</v>
      </c>
      <c r="Q278">
        <v>-7.6692997967029441E-3</v>
      </c>
      <c r="R278">
        <v>5.0932706264351417E-2</v>
      </c>
      <c r="S278">
        <v>-7.5249266735092135E-2</v>
      </c>
      <c r="T278">
        <v>-2.2024510222536261E-2</v>
      </c>
      <c r="U278">
        <v>-0.1124674578265967</v>
      </c>
      <c r="V278">
        <v>-6.5833641475592231E-3</v>
      </c>
    </row>
    <row r="279" spans="1:22" x14ac:dyDescent="0.2">
      <c r="A279" s="15">
        <v>41955.4375</v>
      </c>
      <c r="B279" t="b">
        <v>0</v>
      </c>
      <c r="C279">
        <v>-9.9999999999909051E-3</v>
      </c>
      <c r="D279">
        <v>-3.9999999999992042E-2</v>
      </c>
      <c r="E279">
        <v>-7.000000000000739E-2</v>
      </c>
      <c r="F279">
        <v>-7.9999999999998295E-2</v>
      </c>
      <c r="G279">
        <v>-4.2499999999999538E-2</v>
      </c>
      <c r="H279">
        <v>-4.6999999999999993E-2</v>
      </c>
      <c r="I279">
        <v>-5.3499999999999992E-2</v>
      </c>
      <c r="J279">
        <v>-5.4499999999999993E-2</v>
      </c>
      <c r="K279">
        <v>-9.9999999999994538E-4</v>
      </c>
      <c r="L279">
        <v>-4.5500000000000103E-2</v>
      </c>
      <c r="M279">
        <v>-1.5999999999999901E-3</v>
      </c>
      <c r="N279">
        <v>-6.3949999999999951E-2</v>
      </c>
      <c r="O279">
        <v>-4.149999999999987E-3</v>
      </c>
      <c r="Q279">
        <v>-1.51796896044516E-2</v>
      </c>
      <c r="R279">
        <v>0.68242236837337344</v>
      </c>
      <c r="S279">
        <v>-0.4937971001842314</v>
      </c>
      <c r="T279">
        <v>2.0966261395869878E-2</v>
      </c>
      <c r="U279">
        <v>0.23348020167725281</v>
      </c>
      <c r="V279">
        <v>-2.2272305540809612E-2</v>
      </c>
    </row>
    <row r="280" spans="1:22" x14ac:dyDescent="0.2">
      <c r="A280" s="15">
        <v>41977.5</v>
      </c>
      <c r="B280" t="b">
        <v>1</v>
      </c>
      <c r="C280">
        <v>0</v>
      </c>
      <c r="D280">
        <v>0</v>
      </c>
      <c r="E280">
        <v>0</v>
      </c>
      <c r="F280">
        <v>0</v>
      </c>
      <c r="G280">
        <v>-1.5000000000000571E-3</v>
      </c>
      <c r="H280">
        <v>0</v>
      </c>
      <c r="I280">
        <v>-2.0000000000000022E-3</v>
      </c>
      <c r="J280">
        <v>-1.5000000000000571E-3</v>
      </c>
      <c r="K280">
        <v>0</v>
      </c>
      <c r="L280">
        <v>-2.3000000000000802E-3</v>
      </c>
      <c r="M280">
        <v>-1.5000000000000571E-3</v>
      </c>
      <c r="N280">
        <v>2.2000000000000912E-3</v>
      </c>
      <c r="O280">
        <v>-4.2999999999999714E-3</v>
      </c>
      <c r="Q280">
        <v>1.4875418398560211E-2</v>
      </c>
      <c r="R280">
        <v>7.0021327537087785E-2</v>
      </c>
      <c r="S280">
        <v>-7.0186635518055596E-2</v>
      </c>
      <c r="T280">
        <v>9.460658969828728E-3</v>
      </c>
      <c r="U280">
        <v>-6.6655599348450778E-3</v>
      </c>
      <c r="V280">
        <v>1.264736977304892E-2</v>
      </c>
    </row>
    <row r="281" spans="1:22" x14ac:dyDescent="0.2">
      <c r="A281" s="15">
        <v>42012.5</v>
      </c>
      <c r="B281" t="b">
        <v>1</v>
      </c>
      <c r="C281">
        <v>0</v>
      </c>
      <c r="D281">
        <v>0</v>
      </c>
      <c r="E281">
        <v>-9.9999999999909051E-3</v>
      </c>
      <c r="F281">
        <v>0</v>
      </c>
      <c r="G281">
        <v>5.0000000000016698E-4</v>
      </c>
      <c r="H281">
        <v>2.0000000000000022E-3</v>
      </c>
      <c r="I281">
        <v>5.0000000000000044E-4</v>
      </c>
      <c r="J281">
        <v>4.9999999999994493E-4</v>
      </c>
      <c r="K281">
        <v>-8.0000000000002292E-4</v>
      </c>
      <c r="L281">
        <v>-1.3499999999999619E-3</v>
      </c>
      <c r="M281">
        <v>2.9999999999996701E-4</v>
      </c>
      <c r="N281">
        <v>-3.499999999999948E-3</v>
      </c>
      <c r="O281">
        <v>0</v>
      </c>
      <c r="P281">
        <v>-4.4999999999999476E-3</v>
      </c>
      <c r="Q281">
        <v>0.14308090377710411</v>
      </c>
      <c r="R281">
        <v>-4.4792833895627382E-2</v>
      </c>
      <c r="S281">
        <v>-7.306300348268735E-2</v>
      </c>
      <c r="T281">
        <v>0.119505262494954</v>
      </c>
      <c r="U281">
        <v>8.9248329085421574E-2</v>
      </c>
      <c r="V281">
        <v>0.1286810221425867</v>
      </c>
    </row>
    <row r="282" spans="1:22" x14ac:dyDescent="0.2">
      <c r="A282" s="15">
        <v>42040.5</v>
      </c>
      <c r="B282" t="b">
        <v>1</v>
      </c>
      <c r="C282">
        <v>0</v>
      </c>
      <c r="D282">
        <v>0</v>
      </c>
      <c r="E282">
        <v>0</v>
      </c>
      <c r="F282">
        <v>0</v>
      </c>
      <c r="G282">
        <v>6.0000000000000053E-3</v>
      </c>
      <c r="H282">
        <v>6.5000000000000058E-3</v>
      </c>
      <c r="I282">
        <v>2.9999999999999472E-3</v>
      </c>
      <c r="J282">
        <v>5.4999999999998384E-3</v>
      </c>
      <c r="K282">
        <v>0</v>
      </c>
      <c r="L282">
        <v>-6.9999999999997842E-4</v>
      </c>
      <c r="M282">
        <v>-1.000000000000056E-3</v>
      </c>
      <c r="N282">
        <v>-5.0000000000005596E-4</v>
      </c>
      <c r="O282">
        <v>6.9999999999997842E-4</v>
      </c>
      <c r="Q282">
        <v>0.15861016585699869</v>
      </c>
      <c r="R282">
        <v>-4.0016006936532733E-2</v>
      </c>
      <c r="S282">
        <v>6.2320625223257757E-2</v>
      </c>
      <c r="T282">
        <v>0.12968721592505969</v>
      </c>
      <c r="U282">
        <v>4.3351714336040459E-2</v>
      </c>
      <c r="V282">
        <v>0.14616260006278031</v>
      </c>
    </row>
    <row r="283" spans="1:22" x14ac:dyDescent="0.2">
      <c r="A283" s="15">
        <v>42047.4375</v>
      </c>
      <c r="B283" t="b">
        <v>0</v>
      </c>
      <c r="C283">
        <v>-1.000000000001933E-2</v>
      </c>
      <c r="D283">
        <v>-1.999999999998181E-2</v>
      </c>
      <c r="E283">
        <v>-1.9999999999996021E-2</v>
      </c>
      <c r="F283">
        <v>-2.0000000000010228E-2</v>
      </c>
      <c r="G283">
        <v>3.5000000000000142E-2</v>
      </c>
      <c r="H283">
        <v>-2.5000000000000019E-2</v>
      </c>
      <c r="I283">
        <v>-3.0000000000000031E-3</v>
      </c>
      <c r="J283">
        <v>2.2499999999999961E-2</v>
      </c>
      <c r="K283">
        <v>-1.0000000000000011E-3</v>
      </c>
      <c r="L283">
        <v>-1.22000000000001E-2</v>
      </c>
      <c r="M283">
        <v>-1.500000000000001E-2</v>
      </c>
      <c r="N283">
        <v>-7.0000000000003393E-4</v>
      </c>
      <c r="O283">
        <v>-4.4500000000000104E-3</v>
      </c>
      <c r="Q283">
        <v>-0.26115917957110918</v>
      </c>
      <c r="R283">
        <v>-0.75477142462928626</v>
      </c>
      <c r="S283">
        <v>0.74926324317753767</v>
      </c>
      <c r="T283">
        <v>-0.23304043884695599</v>
      </c>
      <c r="U283">
        <v>-1.434444970880122E-2</v>
      </c>
      <c r="V283">
        <v>-0.28226576701570139</v>
      </c>
    </row>
    <row r="284" spans="1:22" x14ac:dyDescent="0.2">
      <c r="A284" s="15">
        <v>42068.5</v>
      </c>
      <c r="B284" t="b">
        <v>1</v>
      </c>
      <c r="C284">
        <v>0</v>
      </c>
      <c r="D284">
        <v>0</v>
      </c>
      <c r="E284">
        <v>0</v>
      </c>
      <c r="F284">
        <v>0</v>
      </c>
      <c r="G284">
        <v>-1.0000000000001119E-3</v>
      </c>
      <c r="H284">
        <v>-1.0000000000000011E-3</v>
      </c>
      <c r="I284">
        <v>-1.0000000000001119E-3</v>
      </c>
      <c r="J284">
        <v>-2.0000000000002238E-3</v>
      </c>
      <c r="K284">
        <v>0</v>
      </c>
      <c r="L284">
        <v>1.1999999999999791E-3</v>
      </c>
      <c r="M284">
        <v>9.9999999999988987E-5</v>
      </c>
      <c r="N284">
        <v>-2.00000000000089E-4</v>
      </c>
      <c r="O284">
        <v>-7.0000000000003393E-4</v>
      </c>
      <c r="Q284">
        <v>9.7390308345325138E-2</v>
      </c>
      <c r="R284">
        <v>9.6558390838993091E-2</v>
      </c>
      <c r="S284">
        <v>-1.312163759919116E-2</v>
      </c>
      <c r="T284">
        <v>9.749492262824333E-2</v>
      </c>
      <c r="U284">
        <v>9.8868012888488011E-2</v>
      </c>
      <c r="V284">
        <v>0.10045594599807831</v>
      </c>
    </row>
    <row r="285" spans="1:22" x14ac:dyDescent="0.2">
      <c r="A285" s="15">
        <v>42103.458333333343</v>
      </c>
      <c r="B285" t="b">
        <v>1</v>
      </c>
      <c r="C285">
        <v>0</v>
      </c>
      <c r="D285">
        <v>0</v>
      </c>
      <c r="E285">
        <v>0</v>
      </c>
      <c r="F285">
        <v>0</v>
      </c>
      <c r="G285">
        <v>3.0000000000001141E-3</v>
      </c>
      <c r="H285">
        <v>4.0000000000000044E-3</v>
      </c>
      <c r="I285">
        <v>3.499999999999948E-3</v>
      </c>
      <c r="J285">
        <v>3.0000000000001141E-3</v>
      </c>
      <c r="L285">
        <v>-1.0999999999999901E-3</v>
      </c>
      <c r="M285">
        <v>-1.799999999999913E-3</v>
      </c>
      <c r="N285">
        <v>1.4999999999998351E-4</v>
      </c>
      <c r="O285">
        <v>0</v>
      </c>
      <c r="Q285">
        <v>9.3653201859979163E-2</v>
      </c>
      <c r="R285">
        <v>-4.1328007200725381E-2</v>
      </c>
      <c r="S285">
        <v>9.4403243693399475E-2</v>
      </c>
      <c r="T285">
        <v>8.9931869449515034E-2</v>
      </c>
      <c r="U285">
        <v>5.4750607262235462E-2</v>
      </c>
      <c r="V285">
        <v>0.1009659061295451</v>
      </c>
    </row>
    <row r="286" spans="1:22" x14ac:dyDescent="0.2">
      <c r="A286" s="15">
        <v>42135.458333333343</v>
      </c>
      <c r="B286" t="b">
        <v>1</v>
      </c>
      <c r="C286">
        <v>0</v>
      </c>
      <c r="D286">
        <v>0</v>
      </c>
      <c r="E286">
        <v>0</v>
      </c>
      <c r="F286">
        <v>0</v>
      </c>
      <c r="G286">
        <v>1.0000000000001119E-3</v>
      </c>
      <c r="H286">
        <v>1.0000000000000011E-3</v>
      </c>
      <c r="I286">
        <v>1.0000000000000011E-3</v>
      </c>
      <c r="J286">
        <v>9.9999999999988987E-4</v>
      </c>
      <c r="K286">
        <v>0</v>
      </c>
      <c r="L286">
        <v>0</v>
      </c>
      <c r="M286">
        <v>0</v>
      </c>
      <c r="N286">
        <v>3.1999999999999811E-3</v>
      </c>
      <c r="O286">
        <v>1.800000000000024E-3</v>
      </c>
      <c r="P286">
        <v>3.599999999999937E-3</v>
      </c>
      <c r="Q286">
        <v>-2.490084142129945E-2</v>
      </c>
      <c r="R286">
        <v>-1.3881177146103599E-2</v>
      </c>
      <c r="S286">
        <v>-0.1130509334054111</v>
      </c>
      <c r="T286">
        <v>-1.519573683913222E-2</v>
      </c>
      <c r="U286">
        <v>-1.548677826383482E-2</v>
      </c>
      <c r="V286">
        <v>-1.700984023364072E-2</v>
      </c>
    </row>
    <row r="287" spans="1:22" x14ac:dyDescent="0.2">
      <c r="A287" s="15">
        <v>42137.395833333343</v>
      </c>
      <c r="B287" t="b">
        <v>0</v>
      </c>
      <c r="C287">
        <v>0</v>
      </c>
      <c r="D287">
        <v>-2.0000000000010228E-2</v>
      </c>
      <c r="E287">
        <v>-3.000000000000114E-2</v>
      </c>
      <c r="F287">
        <v>-3.9999999999992042E-2</v>
      </c>
      <c r="G287">
        <v>-3.6000000000000032E-2</v>
      </c>
      <c r="H287">
        <v>-2.1500000000000019E-2</v>
      </c>
      <c r="I287">
        <v>-2.799999999999991E-2</v>
      </c>
      <c r="J287">
        <v>-3.5000000000000142E-2</v>
      </c>
      <c r="K287">
        <v>0</v>
      </c>
      <c r="L287">
        <v>-1.7299999999999871E-2</v>
      </c>
      <c r="M287">
        <v>-9.9999999999988987E-5</v>
      </c>
      <c r="N287">
        <v>-2.8300000000000099E-2</v>
      </c>
      <c r="O287">
        <v>-1.000000000000445E-4</v>
      </c>
      <c r="P287">
        <v>-3.1349999999999989E-2</v>
      </c>
      <c r="Q287">
        <v>-2.160760596120781E-2</v>
      </c>
      <c r="R287">
        <v>0.55254555686941131</v>
      </c>
      <c r="S287">
        <v>-0.47784487725636637</v>
      </c>
      <c r="T287">
        <v>-5.8238959763912126E-3</v>
      </c>
      <c r="U287">
        <v>7.398480872438995E-2</v>
      </c>
      <c r="V287">
        <v>-2.481953841231643E-2</v>
      </c>
    </row>
    <row r="288" spans="1:22" x14ac:dyDescent="0.2">
      <c r="A288" s="15">
        <v>42159.458333333343</v>
      </c>
      <c r="B288" t="b">
        <v>1</v>
      </c>
      <c r="C288">
        <v>0</v>
      </c>
      <c r="D288">
        <v>9.9999999999909051E-3</v>
      </c>
      <c r="E288">
        <v>0</v>
      </c>
      <c r="F288">
        <v>0</v>
      </c>
      <c r="G288">
        <v>-2.0999999999999911E-2</v>
      </c>
      <c r="H288">
        <v>5.0000000000000036E-3</v>
      </c>
      <c r="I288">
        <v>-4.4999999999999476E-3</v>
      </c>
      <c r="J288">
        <v>-1.049999999999995E-2</v>
      </c>
      <c r="L288">
        <v>-1.3499999999999619E-3</v>
      </c>
      <c r="M288">
        <v>-1.99999999999978E-4</v>
      </c>
      <c r="N288">
        <v>9.5000000000000639E-4</v>
      </c>
      <c r="O288">
        <v>-5.0000000000005596E-4</v>
      </c>
      <c r="Q288">
        <v>8.3949270374205298E-2</v>
      </c>
      <c r="R288">
        <v>-7.472065014972884E-2</v>
      </c>
      <c r="S288">
        <v>-1.4210854715202001E-14</v>
      </c>
      <c r="T288">
        <v>7.9929751621307332E-2</v>
      </c>
      <c r="U288">
        <v>0.102887400400391</v>
      </c>
      <c r="V288">
        <v>7.8737291276638643E-2</v>
      </c>
    </row>
    <row r="289" spans="1:22" x14ac:dyDescent="0.2">
      <c r="A289" s="15">
        <v>42194.458333333343</v>
      </c>
      <c r="B289" t="b">
        <v>1</v>
      </c>
      <c r="C289">
        <v>0</v>
      </c>
      <c r="D289">
        <v>0</v>
      </c>
      <c r="E289">
        <v>0</v>
      </c>
      <c r="F289">
        <v>0</v>
      </c>
      <c r="G289">
        <v>-9.9999999999988987E-4</v>
      </c>
      <c r="H289">
        <v>0</v>
      </c>
      <c r="I289">
        <v>1.0000000000001119E-3</v>
      </c>
      <c r="J289">
        <v>1.499999999999835E-3</v>
      </c>
      <c r="K289">
        <v>1.000000000000056E-3</v>
      </c>
      <c r="L289">
        <v>-1.0999999999999901E-3</v>
      </c>
      <c r="M289">
        <v>-2.0000000000003351E-4</v>
      </c>
      <c r="N289">
        <v>-1.1999999999999791E-3</v>
      </c>
      <c r="O289">
        <v>-3.0000000000002253E-4</v>
      </c>
      <c r="Q289">
        <v>-4.2251628276403608E-2</v>
      </c>
      <c r="R289">
        <v>4.1785640276486902E-2</v>
      </c>
      <c r="S289">
        <v>0.13975788412792409</v>
      </c>
      <c r="T289">
        <v>-3.6895728061040238E-2</v>
      </c>
      <c r="U289">
        <v>-0.1071201347042461</v>
      </c>
      <c r="V289">
        <v>-2.8801031550415249E-2</v>
      </c>
    </row>
    <row r="290" spans="1:22" x14ac:dyDescent="0.2">
      <c r="A290" s="15">
        <v>42222.458333333343</v>
      </c>
      <c r="B290" t="b">
        <v>1</v>
      </c>
      <c r="C290">
        <v>-2.0000000000010228E-2</v>
      </c>
      <c r="D290">
        <v>-4.0000000000006253E-2</v>
      </c>
      <c r="E290">
        <v>-3.9999999999992042E-2</v>
      </c>
      <c r="F290">
        <v>-4.9999999999997158E-2</v>
      </c>
      <c r="G290">
        <v>-4.9000000000000148E-2</v>
      </c>
      <c r="H290">
        <v>-2.799999999999991E-2</v>
      </c>
      <c r="I290">
        <v>-3.9000000000000028E-2</v>
      </c>
      <c r="J290">
        <v>-4.4999999999999929E-2</v>
      </c>
      <c r="K290">
        <v>0</v>
      </c>
      <c r="L290">
        <v>-3.052499999999991E-2</v>
      </c>
      <c r="M290">
        <v>-4.800000000000082E-3</v>
      </c>
      <c r="N290">
        <v>-3.6125000000000067E-2</v>
      </c>
      <c r="O290">
        <v>-7.6999999999999846E-3</v>
      </c>
      <c r="Q290">
        <v>0.36985192062047639</v>
      </c>
      <c r="R290">
        <v>0.74190667024542023</v>
      </c>
      <c r="S290">
        <v>-0.7265511289352915</v>
      </c>
      <c r="T290">
        <v>0.31665456549455939</v>
      </c>
      <c r="U290">
        <v>0.25826791158920059</v>
      </c>
      <c r="V290">
        <v>0.34589833614438698</v>
      </c>
    </row>
    <row r="291" spans="1:22" x14ac:dyDescent="0.2">
      <c r="A291" s="15">
        <v>42222.489583333343</v>
      </c>
      <c r="B291" t="b">
        <v>0</v>
      </c>
      <c r="C291">
        <v>0</v>
      </c>
      <c r="D291">
        <v>1.0000000000005119E-2</v>
      </c>
      <c r="E291">
        <v>9.9999999999909051E-3</v>
      </c>
      <c r="F291">
        <v>1.0000000000005119E-2</v>
      </c>
      <c r="G291">
        <v>1.9500000000000069E-2</v>
      </c>
      <c r="H291">
        <v>1.100000000000001E-2</v>
      </c>
      <c r="I291">
        <v>9.4999999999999529E-3</v>
      </c>
      <c r="J291">
        <v>1.7499999999999849E-2</v>
      </c>
      <c r="K291">
        <v>0</v>
      </c>
      <c r="L291">
        <v>7.4499999999999567E-3</v>
      </c>
      <c r="M291">
        <v>8.0000000000007843E-4</v>
      </c>
      <c r="N291">
        <v>1.9024999999999959E-2</v>
      </c>
      <c r="O291">
        <v>1.3000000000000229E-3</v>
      </c>
      <c r="Q291">
        <v>-6.7139129713154944E-2</v>
      </c>
      <c r="R291">
        <v>-0.33453178997119443</v>
      </c>
      <c r="S291">
        <v>0.21601414103141539</v>
      </c>
      <c r="T291">
        <v>-8.022266978900916E-2</v>
      </c>
      <c r="U291">
        <v>-0.1498157175229835</v>
      </c>
      <c r="V291">
        <v>-6.5518756716642201E-2</v>
      </c>
    </row>
    <row r="292" spans="1:22" x14ac:dyDescent="0.2">
      <c r="A292" s="15">
        <v>42257.458333333343</v>
      </c>
      <c r="B292" t="b">
        <v>1</v>
      </c>
      <c r="C292">
        <v>0</v>
      </c>
      <c r="D292">
        <v>0</v>
      </c>
      <c r="E292">
        <v>0</v>
      </c>
      <c r="F292">
        <v>0</v>
      </c>
      <c r="G292">
        <v>-1.9999999999997802E-3</v>
      </c>
      <c r="H292">
        <v>-2.0000000000000022E-3</v>
      </c>
      <c r="I292">
        <v>-2.4999999999999471E-3</v>
      </c>
      <c r="J292">
        <v>-1.0000000000001119E-3</v>
      </c>
      <c r="K292">
        <v>0</v>
      </c>
      <c r="L292">
        <v>-1.3000000000000791E-3</v>
      </c>
      <c r="M292">
        <v>-4.0000000000006702E-4</v>
      </c>
      <c r="N292">
        <v>-2.9999999999996701E-4</v>
      </c>
      <c r="O292">
        <v>-5.0000000000005596E-4</v>
      </c>
      <c r="P292">
        <v>1.7500000000000291E-3</v>
      </c>
      <c r="Q292">
        <v>-0.47821773001237489</v>
      </c>
      <c r="R292">
        <v>-0.18585446754033441</v>
      </c>
      <c r="S292">
        <v>0.16880928563990949</v>
      </c>
      <c r="T292">
        <v>-0.4065464787519204</v>
      </c>
      <c r="U292">
        <v>-0.1800353580609908</v>
      </c>
      <c r="V292">
        <v>-0.47292829893501681</v>
      </c>
    </row>
    <row r="293" spans="1:22" x14ac:dyDescent="0.2">
      <c r="A293" s="15">
        <v>42285.458333333343</v>
      </c>
      <c r="B293" t="b">
        <v>1</v>
      </c>
      <c r="C293">
        <v>0</v>
      </c>
      <c r="D293">
        <v>-1.000000000001933E-2</v>
      </c>
      <c r="E293">
        <v>-2.0000000000010228E-2</v>
      </c>
      <c r="F293">
        <v>-2.0000000000010228E-2</v>
      </c>
      <c r="G293">
        <v>-2.4999999999999471E-3</v>
      </c>
      <c r="H293">
        <v>-5.5000000000000049E-3</v>
      </c>
      <c r="I293">
        <v>-4.4999999999999476E-3</v>
      </c>
      <c r="J293">
        <v>-3.499999999999837E-3</v>
      </c>
      <c r="K293">
        <v>0</v>
      </c>
      <c r="L293">
        <v>-6.3499999999999668E-3</v>
      </c>
      <c r="M293">
        <v>-1.0999999999999901E-3</v>
      </c>
      <c r="N293">
        <v>-1.360000000000006E-2</v>
      </c>
      <c r="O293">
        <v>-3.399999999999959E-3</v>
      </c>
      <c r="P293">
        <v>-1.9199999999999991E-2</v>
      </c>
      <c r="Q293">
        <v>0.26880673971481878</v>
      </c>
      <c r="R293">
        <v>0.29877118714069079</v>
      </c>
      <c r="S293">
        <v>-0.303233085839274</v>
      </c>
      <c r="T293">
        <v>0.2298901194448035</v>
      </c>
      <c r="U293">
        <v>0.1206491387498545</v>
      </c>
      <c r="V293">
        <v>0.26150020844841038</v>
      </c>
    </row>
    <row r="294" spans="1:22" x14ac:dyDescent="0.2">
      <c r="A294" s="15">
        <v>42313.5</v>
      </c>
      <c r="B294" t="b">
        <v>1</v>
      </c>
      <c r="C294">
        <v>-9.9999999999909051E-3</v>
      </c>
      <c r="D294">
        <v>-3.9999999999992042E-2</v>
      </c>
      <c r="E294">
        <v>-4.9999999999997158E-2</v>
      </c>
      <c r="F294">
        <v>-6.0000000000002267E-2</v>
      </c>
      <c r="G294">
        <v>-3.1500000000000077E-2</v>
      </c>
      <c r="H294">
        <v>-1.049999999999995E-2</v>
      </c>
      <c r="I294">
        <v>-4.2499999999999871E-2</v>
      </c>
      <c r="J294">
        <v>-4.2499999999999982E-2</v>
      </c>
      <c r="L294">
        <v>-3.6799999999999937E-2</v>
      </c>
      <c r="M294">
        <v>-5.2000000000000379E-3</v>
      </c>
      <c r="N294">
        <v>-4.8924999999999892E-2</v>
      </c>
      <c r="O294">
        <v>-7.3000000000000287E-3</v>
      </c>
      <c r="Q294">
        <v>0.56048905230341006</v>
      </c>
      <c r="R294">
        <v>0.81782745732025575</v>
      </c>
      <c r="S294">
        <v>-0.63268645317986483</v>
      </c>
      <c r="T294">
        <v>0.47591251466803902</v>
      </c>
      <c r="U294">
        <v>0.22869526992121789</v>
      </c>
      <c r="V294">
        <v>0.54390826230110179</v>
      </c>
    </row>
    <row r="295" spans="1:22" x14ac:dyDescent="0.2">
      <c r="A295" s="15">
        <v>42313.53125</v>
      </c>
      <c r="B295" t="b">
        <v>0</v>
      </c>
      <c r="C295">
        <v>0</v>
      </c>
      <c r="D295">
        <v>0</v>
      </c>
      <c r="E295">
        <v>-1.0000000000005119E-2</v>
      </c>
      <c r="F295">
        <v>-1.999999999998181E-2</v>
      </c>
      <c r="G295">
        <v>-8.999999999999897E-3</v>
      </c>
      <c r="H295">
        <v>-2.349999999999991E-2</v>
      </c>
      <c r="I295">
        <v>-2.7000000000000021E-2</v>
      </c>
      <c r="J295">
        <v>-2.8000000000000021E-2</v>
      </c>
      <c r="K295">
        <v>0</v>
      </c>
      <c r="L295">
        <v>-9.5000000000000639E-3</v>
      </c>
      <c r="M295">
        <v>0</v>
      </c>
      <c r="N295">
        <v>-1.532500000000003E-2</v>
      </c>
      <c r="O295">
        <v>6.0000000000004494E-4</v>
      </c>
      <c r="Q295">
        <v>-0.1876833395502899</v>
      </c>
      <c r="R295">
        <v>0.34367910384299449</v>
      </c>
      <c r="S295">
        <v>-0.32109067264401858</v>
      </c>
      <c r="T295">
        <v>-0.1776095594889284</v>
      </c>
      <c r="U295">
        <v>-0.20160496937342029</v>
      </c>
      <c r="V295">
        <v>-0.17609111999286139</v>
      </c>
    </row>
    <row r="296" spans="1:22" x14ac:dyDescent="0.2">
      <c r="A296" s="15">
        <v>42348.5</v>
      </c>
      <c r="B296" t="b">
        <v>1</v>
      </c>
      <c r="C296">
        <v>0</v>
      </c>
      <c r="D296">
        <v>0</v>
      </c>
      <c r="E296">
        <v>-9.9999999999909051E-3</v>
      </c>
      <c r="F296">
        <v>-9.9999999999909051E-3</v>
      </c>
      <c r="G296">
        <v>-1.2999999999999901E-2</v>
      </c>
      <c r="H296">
        <v>-1.9500000000000021E-2</v>
      </c>
      <c r="I296">
        <v>-1.250000000000007E-2</v>
      </c>
      <c r="J296">
        <v>-1.249999999999973E-2</v>
      </c>
      <c r="K296">
        <v>0</v>
      </c>
      <c r="L296">
        <v>-5.3499999999999659E-3</v>
      </c>
      <c r="M296">
        <v>1.6899999999999971E-2</v>
      </c>
      <c r="N296">
        <v>-7.4999999999999512E-3</v>
      </c>
      <c r="O296">
        <v>-2.0000000000000022E-3</v>
      </c>
      <c r="P296">
        <v>-1.060000000000005E-2</v>
      </c>
      <c r="Q296">
        <v>0.12296091392670409</v>
      </c>
      <c r="R296">
        <v>0.26308516974316382</v>
      </c>
      <c r="S296">
        <v>-0.36927176812011447</v>
      </c>
      <c r="T296">
        <v>9.5317427588724968E-2</v>
      </c>
      <c r="U296">
        <v>9.7014939535938538E-2</v>
      </c>
      <c r="V296">
        <v>0.1037743288576394</v>
      </c>
    </row>
    <row r="297" spans="1:22" x14ac:dyDescent="0.2">
      <c r="A297" s="15">
        <v>42383.5</v>
      </c>
      <c r="B297" t="b">
        <v>1</v>
      </c>
      <c r="C297">
        <v>0</v>
      </c>
      <c r="D297">
        <v>9.9999999999909051E-3</v>
      </c>
      <c r="E297">
        <v>9.9999999999909051E-3</v>
      </c>
      <c r="F297">
        <v>1.9999999999996021E-2</v>
      </c>
      <c r="G297">
        <v>1.8499999999999961E-2</v>
      </c>
      <c r="H297">
        <v>2.1000000000000019E-2</v>
      </c>
      <c r="I297">
        <v>2.1000000000000019E-2</v>
      </c>
      <c r="J297">
        <v>2.0999999999999911E-2</v>
      </c>
      <c r="K297">
        <v>3.0000000000002253E-4</v>
      </c>
      <c r="L297">
        <v>3.450000000000009E-3</v>
      </c>
      <c r="M297">
        <v>1.4000000000000119E-3</v>
      </c>
      <c r="N297">
        <v>8.2999999999999741E-3</v>
      </c>
      <c r="O297">
        <v>1.4000000000000119E-3</v>
      </c>
      <c r="P297">
        <v>9.9500000000000144E-3</v>
      </c>
      <c r="Q297">
        <v>0.40104411327615708</v>
      </c>
      <c r="R297">
        <v>-0.39538766501273059</v>
      </c>
      <c r="S297">
        <v>0.19094907463169619</v>
      </c>
      <c r="T297">
        <v>0.33202934906546488</v>
      </c>
      <c r="U297">
        <v>0.14388122006323559</v>
      </c>
      <c r="V297">
        <v>0.38788084828615871</v>
      </c>
    </row>
    <row r="298" spans="1:22" x14ac:dyDescent="0.2">
      <c r="A298" s="15">
        <v>42404.5</v>
      </c>
      <c r="B298" t="b">
        <v>1</v>
      </c>
      <c r="C298">
        <v>5.0000000000096634E-3</v>
      </c>
      <c r="D298">
        <v>-9.9999999999909051E-3</v>
      </c>
      <c r="E298">
        <v>-1.999999999998181E-2</v>
      </c>
      <c r="F298">
        <v>-1.999999999998181E-2</v>
      </c>
      <c r="G298">
        <v>-7.5000000000000622E-3</v>
      </c>
      <c r="H298">
        <v>-6.4999999999999503E-3</v>
      </c>
      <c r="I298">
        <v>-6.9999999999999507E-3</v>
      </c>
      <c r="J298">
        <v>-8.0000000000000071E-3</v>
      </c>
      <c r="L298">
        <v>-5.4500000000000104E-3</v>
      </c>
      <c r="M298">
        <v>2.9999999999996701E-4</v>
      </c>
      <c r="N298">
        <v>-1.0000000000000059E-2</v>
      </c>
      <c r="O298">
        <v>-2.9999999999996701E-4</v>
      </c>
      <c r="P298">
        <v>-1.1300000000000089E-2</v>
      </c>
      <c r="Q298">
        <v>-0.1537082408431161</v>
      </c>
      <c r="R298">
        <v>0.36515429202025368</v>
      </c>
      <c r="S298">
        <v>-0.22980236828418299</v>
      </c>
      <c r="T298">
        <v>-0.16223605506525021</v>
      </c>
      <c r="U298">
        <v>-0.2305055694022258</v>
      </c>
      <c r="V298">
        <v>-0.15458060188268519</v>
      </c>
    </row>
    <row r="299" spans="1:22" x14ac:dyDescent="0.2">
      <c r="A299" s="15">
        <v>42404.520833333343</v>
      </c>
      <c r="B299" t="b">
        <v>0</v>
      </c>
      <c r="C299">
        <v>4.9999999999954534E-3</v>
      </c>
      <c r="D299">
        <v>9.9999999999909051E-3</v>
      </c>
      <c r="E299">
        <v>9.9999999999909051E-3</v>
      </c>
      <c r="F299">
        <v>9.9999999999909051E-3</v>
      </c>
      <c r="G299">
        <v>-1.1000000000000121E-2</v>
      </c>
      <c r="H299">
        <v>-8.499999999999952E-3</v>
      </c>
      <c r="I299">
        <v>-7.9999999999999516E-3</v>
      </c>
      <c r="J299">
        <v>-8.499999999999952E-3</v>
      </c>
      <c r="L299">
        <v>8.900000000000019E-3</v>
      </c>
      <c r="M299">
        <v>3.1999999999999811E-3</v>
      </c>
      <c r="N299">
        <v>8.4500000000000131E-3</v>
      </c>
      <c r="O299">
        <v>5.0999999999999934E-3</v>
      </c>
      <c r="P299">
        <v>2.4999999999999471E-3</v>
      </c>
      <c r="Q299">
        <v>-0.78926330874810446</v>
      </c>
      <c r="R299">
        <v>-9.7850557401361726E-2</v>
      </c>
      <c r="S299">
        <v>0.37994877041865749</v>
      </c>
      <c r="T299">
        <v>-0.68507631240254341</v>
      </c>
      <c r="U299">
        <v>-0.39714999355317099</v>
      </c>
      <c r="V299">
        <v>-0.77368344639944553</v>
      </c>
    </row>
    <row r="300" spans="1:22" x14ac:dyDescent="0.2">
      <c r="A300" s="15">
        <v>42446.5</v>
      </c>
      <c r="B300" t="b">
        <v>1</v>
      </c>
      <c r="C300">
        <v>0</v>
      </c>
      <c r="D300">
        <v>0</v>
      </c>
      <c r="E300">
        <v>0</v>
      </c>
      <c r="F300">
        <v>-1.000000000001933E-2</v>
      </c>
      <c r="G300">
        <v>-2.5000000000001692E-3</v>
      </c>
      <c r="H300">
        <v>-3.5000000000000591E-3</v>
      </c>
      <c r="I300">
        <v>-5.0000000000000036E-3</v>
      </c>
      <c r="J300">
        <v>-4.0000000000000044E-3</v>
      </c>
      <c r="K300">
        <v>9.9999999999988987E-5</v>
      </c>
      <c r="L300">
        <v>6.0000000000004494E-4</v>
      </c>
      <c r="M300">
        <v>6.0000000000004494E-4</v>
      </c>
      <c r="N300">
        <v>1.2500000000000291E-3</v>
      </c>
      <c r="O300">
        <v>9.000000000000119E-4</v>
      </c>
      <c r="Q300">
        <v>-0.16656175774937759</v>
      </c>
      <c r="R300">
        <v>-0.42565421149038579</v>
      </c>
      <c r="S300">
        <v>0.25405014621004801</v>
      </c>
      <c r="T300">
        <v>-0.1136320043675596</v>
      </c>
      <c r="U300">
        <v>7.5270890702768156E-2</v>
      </c>
      <c r="V300">
        <v>-0.16007010749365241</v>
      </c>
    </row>
    <row r="301" spans="1:22" x14ac:dyDescent="0.2">
      <c r="A301" s="15">
        <v>42474.458333333343</v>
      </c>
      <c r="B301" t="b">
        <v>1</v>
      </c>
      <c r="C301">
        <v>5.0000000000096634E-3</v>
      </c>
      <c r="D301">
        <v>9.9999999999909051E-3</v>
      </c>
      <c r="E301">
        <v>1.000000000001933E-2</v>
      </c>
      <c r="F301">
        <v>2.0000000000010228E-2</v>
      </c>
      <c r="G301">
        <v>4.9999999999998934E-3</v>
      </c>
      <c r="H301">
        <v>2.0000000000000022E-3</v>
      </c>
      <c r="I301">
        <v>5.0000000000000036E-3</v>
      </c>
      <c r="J301">
        <v>7.0000000000000062E-3</v>
      </c>
      <c r="K301">
        <v>-1.5000000000000571E-3</v>
      </c>
      <c r="L301">
        <v>7.7999999999999736E-3</v>
      </c>
      <c r="M301">
        <v>-5.0000000000011147E-4</v>
      </c>
      <c r="N301">
        <v>8.1999999999999851E-3</v>
      </c>
      <c r="O301">
        <v>-5.9999999999993392E-4</v>
      </c>
      <c r="Q301">
        <v>3.9575748498009489E-2</v>
      </c>
      <c r="R301">
        <v>1.8831800689657289E-2</v>
      </c>
      <c r="S301">
        <v>3.8894684294241699E-2</v>
      </c>
      <c r="T301">
        <v>5.3960965718147243E-2</v>
      </c>
      <c r="U301">
        <v>9.3563001898019138E-2</v>
      </c>
      <c r="V301">
        <v>4.5728150873287632E-2</v>
      </c>
    </row>
    <row r="302" spans="1:22" x14ac:dyDescent="0.2">
      <c r="A302" s="15">
        <v>42502.458333333343</v>
      </c>
      <c r="B302" t="b">
        <v>1</v>
      </c>
      <c r="C302">
        <v>4.9999999999954534E-3</v>
      </c>
      <c r="D302">
        <v>2.0000000000010228E-2</v>
      </c>
      <c r="E302">
        <v>2.0000000000010228E-2</v>
      </c>
      <c r="F302">
        <v>2.0000000000010228E-2</v>
      </c>
      <c r="G302">
        <v>-4.9999999999972289E-4</v>
      </c>
      <c r="H302">
        <v>-6.5000000000000058E-3</v>
      </c>
      <c r="I302">
        <v>-5.5000000000000049E-3</v>
      </c>
      <c r="J302">
        <v>-1.0000000000000011E-3</v>
      </c>
      <c r="K302">
        <v>0</v>
      </c>
      <c r="L302">
        <v>1.0500000000000009E-2</v>
      </c>
      <c r="M302">
        <v>4.9999999999994493E-5</v>
      </c>
      <c r="N302">
        <v>1.589999999999997E-2</v>
      </c>
      <c r="O302">
        <v>-1.5000000000003899E-4</v>
      </c>
      <c r="Q302">
        <v>-4.061326023474976E-3</v>
      </c>
      <c r="R302">
        <v>-0.1077962122074148</v>
      </c>
      <c r="S302">
        <v>0.1037811004000062</v>
      </c>
      <c r="T302">
        <v>2.002485444506874E-2</v>
      </c>
      <c r="U302">
        <v>6.3917958232650562E-2</v>
      </c>
      <c r="V302">
        <v>1.018419656054448E-2</v>
      </c>
    </row>
    <row r="303" spans="1:22" x14ac:dyDescent="0.2">
      <c r="A303" s="15">
        <v>42502.479166666657</v>
      </c>
      <c r="B303" t="b">
        <v>0</v>
      </c>
      <c r="C303">
        <v>0</v>
      </c>
      <c r="D303">
        <v>0</v>
      </c>
      <c r="E303">
        <v>0</v>
      </c>
      <c r="F303">
        <v>0</v>
      </c>
      <c r="G303">
        <v>-4.4999999999999476E-3</v>
      </c>
      <c r="H303">
        <v>5.5000000000000049E-3</v>
      </c>
      <c r="I303">
        <v>-8.5000000000000075E-3</v>
      </c>
      <c r="J303">
        <v>0</v>
      </c>
      <c r="K303">
        <v>0</v>
      </c>
      <c r="L303">
        <v>-1.799999999999913E-3</v>
      </c>
      <c r="M303">
        <v>-9.000000000000119E-4</v>
      </c>
      <c r="N303">
        <v>-2.0499999999999958E-3</v>
      </c>
      <c r="O303">
        <v>-9.9999999999988987E-5</v>
      </c>
      <c r="Q303">
        <v>-6.502215046020865E-2</v>
      </c>
      <c r="R303">
        <v>3.8085566031003992E-2</v>
      </c>
      <c r="S303">
        <v>-6.218690820550421E-2</v>
      </c>
      <c r="T303">
        <v>-5.480453187965395E-2</v>
      </c>
      <c r="U303">
        <v>-9.1330063690861607E-2</v>
      </c>
      <c r="V303">
        <v>-4.9819002774142973E-2</v>
      </c>
    </row>
    <row r="304" spans="1:22" x14ac:dyDescent="0.2">
      <c r="A304" s="15">
        <v>42537.458333333343</v>
      </c>
      <c r="B304" t="b">
        <v>1</v>
      </c>
      <c r="C304">
        <v>0</v>
      </c>
      <c r="D304">
        <v>0</v>
      </c>
      <c r="E304">
        <v>0</v>
      </c>
      <c r="F304">
        <v>0</v>
      </c>
      <c r="G304">
        <v>4.9999999999998934E-3</v>
      </c>
      <c r="H304">
        <v>2.5000000000000582E-3</v>
      </c>
      <c r="I304">
        <v>6.9999999999998952E-3</v>
      </c>
      <c r="J304">
        <v>3.499999999999948E-3</v>
      </c>
      <c r="K304">
        <v>0</v>
      </c>
      <c r="L304">
        <v>1.0499999999999949E-3</v>
      </c>
      <c r="M304">
        <v>-7.999999999999674E-4</v>
      </c>
      <c r="N304">
        <v>1.4500000000000071E-3</v>
      </c>
      <c r="O304">
        <v>-1.3000000000000229E-3</v>
      </c>
      <c r="Q304">
        <v>-0.17292650716831301</v>
      </c>
      <c r="R304">
        <v>-8.1974970697036298E-2</v>
      </c>
      <c r="S304">
        <v>-0.1841425499970839</v>
      </c>
      <c r="T304">
        <v>-0.1350285759867802</v>
      </c>
      <c r="U304">
        <v>-7.4196430703409533E-2</v>
      </c>
      <c r="V304">
        <v>-0.15468559490216191</v>
      </c>
    </row>
    <row r="305" spans="1:22" x14ac:dyDescent="0.2">
      <c r="A305" s="15">
        <v>42565.458333333343</v>
      </c>
      <c r="B305" t="b">
        <v>1</v>
      </c>
      <c r="C305">
        <v>4.0000000000006253E-2</v>
      </c>
      <c r="D305">
        <v>3.9999999999992042E-2</v>
      </c>
      <c r="E305">
        <v>3.9999999999992042E-2</v>
      </c>
      <c r="F305">
        <v>4.9999999999997158E-2</v>
      </c>
      <c r="G305">
        <v>2.8000000000000021E-2</v>
      </c>
      <c r="H305">
        <v>3.1499999999999972E-2</v>
      </c>
      <c r="I305">
        <v>3.4499999999999982E-2</v>
      </c>
      <c r="J305">
        <v>3.1000000000000031E-2</v>
      </c>
      <c r="K305">
        <v>-5.0000000000005596E-4</v>
      </c>
      <c r="L305">
        <v>5.9849999999999987E-2</v>
      </c>
      <c r="M305">
        <v>4.0000000000001151E-4</v>
      </c>
      <c r="N305">
        <v>5.1449999999999982E-2</v>
      </c>
      <c r="O305">
        <v>4.699999999999982E-3</v>
      </c>
      <c r="Q305">
        <v>-0.80119290360971718</v>
      </c>
      <c r="R305">
        <v>-0.59177075769600762</v>
      </c>
      <c r="S305">
        <v>0.97000534985392051</v>
      </c>
    </row>
    <row r="306" spans="1:22" x14ac:dyDescent="0.2">
      <c r="A306" s="15">
        <v>42586.458333333343</v>
      </c>
      <c r="B306" t="b">
        <v>1</v>
      </c>
      <c r="C306">
        <v>-3.4999999999996589E-2</v>
      </c>
      <c r="D306">
        <v>-6.0000000000002267E-2</v>
      </c>
      <c r="E306">
        <v>-7.000000000000739E-2</v>
      </c>
      <c r="F306">
        <v>-7.000000000000739E-2</v>
      </c>
      <c r="G306">
        <v>-0.14549999999999999</v>
      </c>
      <c r="H306">
        <v>-9.35E-2</v>
      </c>
      <c r="I306">
        <v>-9.999999999999995E-2</v>
      </c>
      <c r="J306">
        <v>-0.1275</v>
      </c>
      <c r="K306">
        <v>-1.4000000000000011E-2</v>
      </c>
      <c r="L306">
        <v>1.160000000000003E-2</v>
      </c>
      <c r="M306">
        <v>-4.1500000000000148E-3</v>
      </c>
      <c r="N306">
        <v>-6.4124999999999988E-2</v>
      </c>
      <c r="O306">
        <v>-8.649999999999991E-3</v>
      </c>
      <c r="P306">
        <v>-2.650000000000013E-3</v>
      </c>
      <c r="Q306">
        <v>1.516209177238125</v>
      </c>
      <c r="R306">
        <v>1.1962648237003</v>
      </c>
      <c r="S306">
        <v>-1.245252119860734</v>
      </c>
      <c r="T306">
        <v>1.325410503416947</v>
      </c>
      <c r="U306">
        <v>0.74329841225357995</v>
      </c>
      <c r="V306">
        <v>1.4763694479864851</v>
      </c>
    </row>
    <row r="307" spans="1:22" x14ac:dyDescent="0.2">
      <c r="A307" s="15">
        <v>42586.479166666657</v>
      </c>
      <c r="B307" t="b">
        <v>0</v>
      </c>
      <c r="C307">
        <v>0</v>
      </c>
      <c r="D307">
        <v>9.9999999999909051E-3</v>
      </c>
      <c r="E307">
        <v>1.0000000000005119E-2</v>
      </c>
      <c r="F307">
        <v>1.0000000000005119E-2</v>
      </c>
      <c r="G307">
        <v>4.4999999999999929E-2</v>
      </c>
      <c r="H307">
        <v>5.2500000000000067E-2</v>
      </c>
      <c r="I307">
        <v>6.3499999999999973E-2</v>
      </c>
      <c r="J307">
        <v>3.9500000000000063E-2</v>
      </c>
      <c r="K307">
        <v>-2.775557561562891E-17</v>
      </c>
      <c r="L307">
        <v>-4.2000000000000037E-2</v>
      </c>
      <c r="M307">
        <v>5.5000000000000049E-3</v>
      </c>
      <c r="N307">
        <v>3.2750000000000001E-2</v>
      </c>
      <c r="O307">
        <v>1.2300000000000011E-2</v>
      </c>
      <c r="P307">
        <v>0</v>
      </c>
      <c r="Q307">
        <v>0.1049436024502484</v>
      </c>
      <c r="R307">
        <v>0.21881199776809271</v>
      </c>
      <c r="S307">
        <v>-9.4903679895221416E-2</v>
      </c>
      <c r="T307">
        <v>0.10532206483253501</v>
      </c>
      <c r="U307">
        <v>0.28093298409419282</v>
      </c>
      <c r="V307">
        <v>6.7605502148467167E-2</v>
      </c>
    </row>
    <row r="308" spans="1:22" x14ac:dyDescent="0.2">
      <c r="A308" s="15">
        <v>42628.458333333343</v>
      </c>
      <c r="B308" t="b">
        <v>1</v>
      </c>
      <c r="C308">
        <v>-4.9999999999954534E-3</v>
      </c>
      <c r="D308">
        <v>-9.9999999999909051E-3</v>
      </c>
      <c r="E308">
        <v>-1.0000000000005119E-2</v>
      </c>
      <c r="F308">
        <v>-1.9999999999996021E-2</v>
      </c>
      <c r="G308">
        <v>-3.2999999999999918E-2</v>
      </c>
      <c r="H308">
        <v>-2.3999999999999969E-2</v>
      </c>
      <c r="I308">
        <v>-2.849999999999997E-2</v>
      </c>
      <c r="J308">
        <v>-3.0499999999999972E-2</v>
      </c>
      <c r="K308">
        <v>0</v>
      </c>
      <c r="L308">
        <v>-7.6999999999999846E-3</v>
      </c>
      <c r="M308">
        <v>-3.0000000000002253E-4</v>
      </c>
      <c r="N308">
        <v>-7.0000000000000062E-3</v>
      </c>
      <c r="O308">
        <v>-1.299999999999996E-3</v>
      </c>
      <c r="Q308">
        <v>-5.607162362116469E-2</v>
      </c>
      <c r="R308">
        <v>5.2948964319863727E-2</v>
      </c>
      <c r="S308">
        <v>-2.646352774267768E-2</v>
      </c>
      <c r="T308">
        <v>-4.3549653455102089E-2</v>
      </c>
      <c r="U308">
        <v>-6.0785924079596043E-2</v>
      </c>
      <c r="V308">
        <v>-3.9326544653135898E-2</v>
      </c>
    </row>
    <row r="309" spans="1:22" x14ac:dyDescent="0.2">
      <c r="A309" s="15">
        <v>42677.5</v>
      </c>
      <c r="B309" t="b">
        <v>1</v>
      </c>
      <c r="C309">
        <v>9.9999999999909051E-3</v>
      </c>
      <c r="D309">
        <v>3.000000000000114E-2</v>
      </c>
      <c r="E309">
        <v>3.000000000000114E-2</v>
      </c>
      <c r="F309">
        <v>3.9999999999992042E-2</v>
      </c>
      <c r="G309">
        <v>5.0000000000000037E-2</v>
      </c>
      <c r="H309">
        <v>3.9000000000000007E-2</v>
      </c>
      <c r="I309">
        <v>4.2000000000000072E-2</v>
      </c>
      <c r="J309">
        <v>4.8499999999999988E-2</v>
      </c>
      <c r="L309">
        <v>2.3400000000000001E-2</v>
      </c>
      <c r="M309">
        <v>4.3999999999999586E-3</v>
      </c>
      <c r="N309">
        <v>3.7624999999999992E-2</v>
      </c>
      <c r="O309">
        <v>5.1999999999999824E-3</v>
      </c>
      <c r="Q309">
        <v>-0.38644901888051209</v>
      </c>
      <c r="R309">
        <v>-0.54542011563658832</v>
      </c>
      <c r="S309">
        <v>0.55417377389235867</v>
      </c>
      <c r="T309">
        <v>-0.3130550160274197</v>
      </c>
      <c r="U309">
        <v>-1.916000293249454E-3</v>
      </c>
      <c r="V309">
        <v>-0.39888131630777929</v>
      </c>
    </row>
    <row r="310" spans="1:22" x14ac:dyDescent="0.2">
      <c r="A310" s="15">
        <v>42677.520833333343</v>
      </c>
      <c r="B310" t="b">
        <v>0</v>
      </c>
      <c r="C310">
        <v>0</v>
      </c>
      <c r="D310">
        <v>0</v>
      </c>
      <c r="E310">
        <v>0</v>
      </c>
      <c r="F310">
        <v>0</v>
      </c>
      <c r="G310">
        <v>9.9999999999988987E-4</v>
      </c>
      <c r="H310">
        <v>-1.200000000000004E-2</v>
      </c>
      <c r="I310">
        <v>-7.4999999999999789E-3</v>
      </c>
      <c r="J310">
        <v>1.499999999999946E-3</v>
      </c>
      <c r="K310">
        <v>5.9999999999999221E-3</v>
      </c>
      <c r="L310">
        <v>9.5000000000000639E-4</v>
      </c>
      <c r="M310">
        <v>5.0000000000000044E-4</v>
      </c>
      <c r="N310">
        <v>-3.749999999999976E-3</v>
      </c>
      <c r="O310">
        <v>1.2499999999999729E-3</v>
      </c>
      <c r="Q310">
        <v>0.16583446154641021</v>
      </c>
      <c r="R310">
        <v>0.26463234384460682</v>
      </c>
      <c r="S310">
        <v>-0.26069359220439742</v>
      </c>
      <c r="T310">
        <v>0.1126584546954064</v>
      </c>
      <c r="U310">
        <v>-0.1842572399388018</v>
      </c>
      <c r="V310">
        <v>0.16722546956771109</v>
      </c>
    </row>
    <row r="311" spans="1:22" x14ac:dyDescent="0.2">
      <c r="A311" s="15">
        <v>42719.5</v>
      </c>
      <c r="B311" t="b">
        <v>1</v>
      </c>
      <c r="C311">
        <v>0</v>
      </c>
      <c r="D311">
        <v>-4.9999999999954534E-3</v>
      </c>
      <c r="E311">
        <v>-1.0000000000005119E-2</v>
      </c>
      <c r="F311">
        <v>-9.9999999999909051E-3</v>
      </c>
      <c r="G311">
        <v>-3.0499999999999972E-2</v>
      </c>
      <c r="H311">
        <v>-2.5999999999999999E-2</v>
      </c>
      <c r="I311">
        <v>-3.0499999999999972E-2</v>
      </c>
      <c r="J311">
        <v>-3.1000000000000031E-2</v>
      </c>
      <c r="K311">
        <v>0</v>
      </c>
      <c r="L311">
        <v>-4.7999999999999987E-3</v>
      </c>
      <c r="M311">
        <v>4.349999999999965E-3</v>
      </c>
      <c r="N311">
        <v>-8.0749999999999988E-3</v>
      </c>
      <c r="O311">
        <v>-5.9999999999998943E-4</v>
      </c>
      <c r="P311">
        <v>-9.8500000000000254E-3</v>
      </c>
      <c r="Q311">
        <v>-0.19757527756257789</v>
      </c>
      <c r="R311">
        <v>0.16767475034507481</v>
      </c>
      <c r="S311">
        <v>-3.204486308214527E-2</v>
      </c>
      <c r="T311">
        <v>-0.16737779637310271</v>
      </c>
      <c r="U311">
        <v>-7.2843706499838845E-2</v>
      </c>
      <c r="V311">
        <v>-0.19055754609792069</v>
      </c>
    </row>
    <row r="312" spans="1:22" x14ac:dyDescent="0.2">
      <c r="A312" s="15">
        <v>42768.5</v>
      </c>
      <c r="B312" t="b">
        <v>1</v>
      </c>
      <c r="C312">
        <v>-4.9999999999954534E-3</v>
      </c>
      <c r="D312">
        <v>-2.0000000000010228E-2</v>
      </c>
      <c r="E312">
        <v>-1.9999999999996021E-2</v>
      </c>
      <c r="F312">
        <v>-1.0000000000005119E-2</v>
      </c>
      <c r="G312">
        <v>-1.7500000000000071E-2</v>
      </c>
      <c r="H312">
        <v>-3.9999999999999966E-3</v>
      </c>
      <c r="I312">
        <v>-1.550000000000001E-2</v>
      </c>
      <c r="J312">
        <v>-1.7000000000000019E-2</v>
      </c>
      <c r="K312">
        <v>0</v>
      </c>
      <c r="L312">
        <v>-8.900000000000019E-3</v>
      </c>
      <c r="M312">
        <v>-3.0000000000002253E-4</v>
      </c>
      <c r="N312">
        <v>-1.515E-2</v>
      </c>
      <c r="O312">
        <v>-4.0999999999999934E-3</v>
      </c>
      <c r="Q312">
        <v>0.28291563235427469</v>
      </c>
      <c r="R312">
        <v>0.5197547251288217</v>
      </c>
      <c r="S312">
        <v>-0.54660095689915167</v>
      </c>
      <c r="T312">
        <v>0.21818753175341499</v>
      </c>
      <c r="U312">
        <v>7.0650370287580699E-2</v>
      </c>
      <c r="V312">
        <v>0.25747074930779951</v>
      </c>
    </row>
    <row r="313" spans="1:22" x14ac:dyDescent="0.2">
      <c r="A313" s="15">
        <v>42768.520833333343</v>
      </c>
      <c r="B313" t="b">
        <v>0</v>
      </c>
      <c r="C313">
        <v>-5.0000000000096634E-3</v>
      </c>
      <c r="D313">
        <v>-9.9999999999909051E-3</v>
      </c>
      <c r="E313">
        <v>-1.0000000000005119E-2</v>
      </c>
      <c r="F313">
        <v>-3.000000000000114E-2</v>
      </c>
      <c r="G313">
        <v>-4.2999999999999927E-2</v>
      </c>
      <c r="H313">
        <v>-8.5000000000000006E-3</v>
      </c>
      <c r="I313">
        <v>-2.349999999999999E-2</v>
      </c>
      <c r="J313">
        <v>-4.4499999999999977E-2</v>
      </c>
      <c r="K313">
        <v>0</v>
      </c>
      <c r="L313">
        <v>-6.6500000000000448E-3</v>
      </c>
      <c r="M313">
        <v>-8.0000000000002292E-4</v>
      </c>
      <c r="N313">
        <v>-1.9400000000000028E-2</v>
      </c>
      <c r="O313">
        <v>-1.0999999999999901E-3</v>
      </c>
      <c r="Q313">
        <v>0.30360822587340408</v>
      </c>
      <c r="R313">
        <v>0.46565858299510232</v>
      </c>
      <c r="S313">
        <v>-0.44899250952437342</v>
      </c>
      <c r="T313">
        <v>0.29486278064177901</v>
      </c>
      <c r="U313">
        <v>0.30460275881705462</v>
      </c>
      <c r="V313">
        <v>0.31119587761247658</v>
      </c>
    </row>
    <row r="314" spans="1:22" x14ac:dyDescent="0.2">
      <c r="A314" s="15">
        <v>42810.5</v>
      </c>
      <c r="B314" t="b">
        <v>1</v>
      </c>
      <c r="C314">
        <v>4.9999999999954534E-3</v>
      </c>
      <c r="D314">
        <v>1.000000000001933E-2</v>
      </c>
      <c r="E314">
        <v>1.9999999999996021E-2</v>
      </c>
      <c r="F314">
        <v>1.9999999999996021E-2</v>
      </c>
      <c r="G314">
        <v>4.4499999999999977E-2</v>
      </c>
      <c r="H314">
        <v>4.299999999999999E-2</v>
      </c>
      <c r="I314">
        <v>3.95E-2</v>
      </c>
      <c r="J314">
        <v>4.5500000000000103E-2</v>
      </c>
      <c r="K314">
        <v>0</v>
      </c>
      <c r="L314">
        <v>4.500000000000004E-3</v>
      </c>
      <c r="M314">
        <v>9.9999999999988987E-5</v>
      </c>
      <c r="N314">
        <v>1.790000000000003E-2</v>
      </c>
      <c r="O314">
        <v>3.0000000000002253E-4</v>
      </c>
      <c r="Q314">
        <v>-0.41767778317785093</v>
      </c>
      <c r="R314">
        <v>-0.75766634980785419</v>
      </c>
      <c r="S314">
        <v>0.69058242520855018</v>
      </c>
      <c r="T314">
        <v>-0.370780202414835</v>
      </c>
      <c r="U314">
        <v>-0.27149549546413709</v>
      </c>
      <c r="V314">
        <v>-0.40956222028796668</v>
      </c>
    </row>
    <row r="315" spans="1:22" x14ac:dyDescent="0.2">
      <c r="A315" s="15">
        <v>42866.458333333343</v>
      </c>
      <c r="B315" t="b">
        <v>1</v>
      </c>
      <c r="C315">
        <v>-5.0000000000096634E-3</v>
      </c>
      <c r="D315">
        <v>-1.000000000001933E-2</v>
      </c>
      <c r="E315">
        <v>-9.9999999999909051E-3</v>
      </c>
      <c r="F315">
        <v>-1.0000000000005119E-2</v>
      </c>
      <c r="G315">
        <v>1.0500000000000179E-2</v>
      </c>
      <c r="H315">
        <v>8.9999999999999941E-3</v>
      </c>
      <c r="I315">
        <v>5.5000000000000049E-3</v>
      </c>
      <c r="J315">
        <v>5.9999999999998943E-3</v>
      </c>
      <c r="K315">
        <v>0</v>
      </c>
      <c r="L315">
        <v>-5.1999999999999824E-3</v>
      </c>
      <c r="M315">
        <v>1.8999999999999571E-3</v>
      </c>
      <c r="N315">
        <v>-5.3499999999999659E-3</v>
      </c>
      <c r="O315">
        <v>3.5999999999999921E-3</v>
      </c>
      <c r="P315">
        <v>-1.2500000000000291E-3</v>
      </c>
      <c r="Q315">
        <v>6.4604976830082705E-2</v>
      </c>
      <c r="R315">
        <v>0.26115874292551672</v>
      </c>
      <c r="S315">
        <v>-0.29062465963679429</v>
      </c>
      <c r="T315">
        <v>5.6266983377781798E-2</v>
      </c>
      <c r="U315">
        <v>-2.7391835840603559E-2</v>
      </c>
      <c r="V315">
        <v>6.9980761531382996E-2</v>
      </c>
    </row>
    <row r="316" spans="1:22" x14ac:dyDescent="0.2">
      <c r="A316" s="15">
        <v>42866.479166666657</v>
      </c>
      <c r="B316" t="b">
        <v>0</v>
      </c>
      <c r="C316">
        <v>0</v>
      </c>
      <c r="D316">
        <v>0</v>
      </c>
      <c r="E316">
        <v>-9.9999999999909051E-3</v>
      </c>
      <c r="F316">
        <v>-9.9999999999909051E-3</v>
      </c>
      <c r="G316">
        <v>3.0000000000001141E-3</v>
      </c>
      <c r="H316">
        <v>1.5000000000000009E-3</v>
      </c>
      <c r="I316">
        <v>0</v>
      </c>
      <c r="J316">
        <v>-2.0000000000001128E-3</v>
      </c>
      <c r="K316">
        <v>0</v>
      </c>
      <c r="L316">
        <v>-4.0500000000000544E-3</v>
      </c>
      <c r="M316">
        <v>3.0000000000002253E-4</v>
      </c>
      <c r="N316">
        <v>-6.2499999999999778E-3</v>
      </c>
      <c r="O316">
        <v>9.9999999999988987E-5</v>
      </c>
      <c r="P316">
        <v>-4.049999999999998E-3</v>
      </c>
      <c r="Q316">
        <v>-0.12921655769639531</v>
      </c>
      <c r="R316">
        <v>-2.3707918555807339E-2</v>
      </c>
      <c r="S316">
        <v>-0.20195750223043871</v>
      </c>
      <c r="T316">
        <v>-0.1241483472861091</v>
      </c>
      <c r="U316">
        <v>-0.1134111147849808</v>
      </c>
      <c r="V316">
        <v>-0.13292960073761151</v>
      </c>
    </row>
    <row r="317" spans="1:22" x14ac:dyDescent="0.2">
      <c r="A317" s="15">
        <v>42901.458333333343</v>
      </c>
      <c r="B317" t="b">
        <v>1</v>
      </c>
      <c r="C317">
        <v>1.0000000000005119E-2</v>
      </c>
      <c r="D317">
        <v>3.000000000000114E-2</v>
      </c>
      <c r="E317">
        <v>3.9999999999992042E-2</v>
      </c>
      <c r="F317">
        <v>5.0000000000011369E-2</v>
      </c>
      <c r="G317">
        <v>6.0000000000000053E-2</v>
      </c>
      <c r="H317">
        <v>4.2499999999999982E-2</v>
      </c>
      <c r="I317">
        <v>5.099999999999999E-2</v>
      </c>
      <c r="J317">
        <v>7.1000000000000008E-2</v>
      </c>
      <c r="K317">
        <v>0</v>
      </c>
      <c r="L317">
        <v>3.3700000000000008E-2</v>
      </c>
      <c r="M317">
        <v>2.3500000000000192E-3</v>
      </c>
      <c r="N317">
        <v>5.8650000000000042E-2</v>
      </c>
      <c r="O317">
        <v>5.7000000000000106E-3</v>
      </c>
      <c r="P317">
        <v>6.8350000000000022E-2</v>
      </c>
      <c r="Q317">
        <v>-0.36140751681352867</v>
      </c>
      <c r="R317">
        <v>-0.67901319344046129</v>
      </c>
      <c r="S317">
        <v>0.58094055675857703</v>
      </c>
      <c r="T317">
        <v>-0.35852155825989479</v>
      </c>
      <c r="U317">
        <v>-0.46929186988859328</v>
      </c>
      <c r="V317">
        <v>-0.35388174811100731</v>
      </c>
    </row>
    <row r="318" spans="1:22" x14ac:dyDescent="0.2">
      <c r="A318" s="15">
        <v>42950.458333333343</v>
      </c>
      <c r="B318" t="b">
        <v>1</v>
      </c>
      <c r="C318">
        <v>-2.5000000000005681E-2</v>
      </c>
      <c r="D318">
        <v>-3.000000000000114E-2</v>
      </c>
      <c r="E318">
        <v>-3.9999999999992042E-2</v>
      </c>
      <c r="F318">
        <v>-3.9999999999992042E-2</v>
      </c>
      <c r="G318">
        <v>-4.4500000000000213E-2</v>
      </c>
      <c r="H318">
        <v>-4.0000000000000042E-2</v>
      </c>
      <c r="I318">
        <v>-3.9500000000000042E-2</v>
      </c>
      <c r="J318">
        <v>-4.4000000000000039E-2</v>
      </c>
      <c r="K318">
        <v>0</v>
      </c>
      <c r="L318">
        <v>-2.7700000000000061E-2</v>
      </c>
      <c r="M318">
        <v>-2.579999999999999E-2</v>
      </c>
      <c r="N318">
        <v>-3.6599999999999973E-2</v>
      </c>
      <c r="O318">
        <v>-2.29E-2</v>
      </c>
      <c r="P318">
        <v>-3.240000000000004E-2</v>
      </c>
      <c r="Q318">
        <v>0.30823972241694259</v>
      </c>
      <c r="R318">
        <v>0.65771375830383683</v>
      </c>
      <c r="S318">
        <v>-0.6629691094574035</v>
      </c>
      <c r="T318">
        <v>0.25939906568703458</v>
      </c>
      <c r="U318">
        <v>7.1097437654429996E-2</v>
      </c>
      <c r="V318">
        <v>0.30803986250236898</v>
      </c>
    </row>
    <row r="319" spans="1:22" x14ac:dyDescent="0.2">
      <c r="A319" s="15">
        <v>42950.479166666657</v>
      </c>
      <c r="B319" t="b">
        <v>0</v>
      </c>
      <c r="C319">
        <v>0</v>
      </c>
      <c r="D319">
        <v>0</v>
      </c>
      <c r="E319">
        <v>-9.9999999999909051E-3</v>
      </c>
      <c r="F319">
        <v>0</v>
      </c>
      <c r="G319">
        <v>-2.4000000000000021E-2</v>
      </c>
      <c r="H319">
        <v>-1.550000000000001E-2</v>
      </c>
      <c r="I319">
        <v>-1.7499999999999991E-2</v>
      </c>
      <c r="J319">
        <v>-2.4000000000000129E-2</v>
      </c>
      <c r="K319">
        <v>0</v>
      </c>
      <c r="L319">
        <v>-2.4000000000000128E-3</v>
      </c>
      <c r="M319">
        <v>-5.9999999999998943E-4</v>
      </c>
      <c r="N319">
        <v>-6.9500000000000117E-3</v>
      </c>
      <c r="O319">
        <v>-8.0000000000002292E-4</v>
      </c>
      <c r="P319">
        <v>-1.224999999999998E-2</v>
      </c>
      <c r="Q319">
        <v>0.17906317604411021</v>
      </c>
      <c r="R319">
        <v>0.51026178377525966</v>
      </c>
      <c r="S319">
        <v>-0.33470288358588007</v>
      </c>
      <c r="T319">
        <v>0.12747785239105269</v>
      </c>
      <c r="U319">
        <v>-8.883319174810822E-2</v>
      </c>
      <c r="V319">
        <v>0.17703226207538589</v>
      </c>
    </row>
    <row r="320" spans="1:22" x14ac:dyDescent="0.2">
      <c r="A320" s="15">
        <v>42992.458333333343</v>
      </c>
      <c r="B320" t="b">
        <v>1</v>
      </c>
      <c r="C320">
        <v>-1.0000000000005119E-2</v>
      </c>
      <c r="D320">
        <v>3.9999999999992042E-2</v>
      </c>
      <c r="E320">
        <v>6.9999999999993179E-2</v>
      </c>
      <c r="F320">
        <v>8.0000000000012506E-2</v>
      </c>
      <c r="G320">
        <v>3.5499999999999858E-2</v>
      </c>
      <c r="H320">
        <v>3.8500000000000013E-2</v>
      </c>
      <c r="I320">
        <v>3.4500000000000031E-2</v>
      </c>
      <c r="J320">
        <v>4.8000000000000043E-2</v>
      </c>
      <c r="K320">
        <v>9.9999999999999811E-3</v>
      </c>
      <c r="L320">
        <v>4.6250000000000013E-2</v>
      </c>
      <c r="M320">
        <v>-7.4999999999999789E-3</v>
      </c>
      <c r="N320">
        <v>6.7400000000000015E-2</v>
      </c>
      <c r="O320">
        <v>2.6000000000000472E-3</v>
      </c>
      <c r="P320">
        <v>8.900000000000019E-3</v>
      </c>
      <c r="Q320">
        <v>-0.80572942653589052</v>
      </c>
      <c r="R320">
        <v>-1.0200473050049761</v>
      </c>
      <c r="S320">
        <v>0.84474613283678224</v>
      </c>
      <c r="T320">
        <v>-0.71238918411484065</v>
      </c>
      <c r="U320">
        <v>-0.35183265722503171</v>
      </c>
      <c r="V320">
        <v>-0.81247918583380851</v>
      </c>
    </row>
    <row r="321" spans="1:22" x14ac:dyDescent="0.2">
      <c r="A321" s="15">
        <v>43041.5</v>
      </c>
      <c r="B321" t="b">
        <v>1</v>
      </c>
      <c r="C321">
        <v>0</v>
      </c>
      <c r="D321">
        <v>-3.000000000000114E-2</v>
      </c>
      <c r="E321">
        <v>-4.0000000000006253E-2</v>
      </c>
      <c r="F321">
        <v>-6.0000000000002267E-2</v>
      </c>
      <c r="G321">
        <v>-6.349999999999989E-2</v>
      </c>
      <c r="H321">
        <v>-6.4999999999999947E-2</v>
      </c>
      <c r="I321">
        <v>-7.400000000000001E-2</v>
      </c>
      <c r="J321">
        <v>-8.0999999999999961E-2</v>
      </c>
      <c r="K321">
        <v>2.0000000000000569E-3</v>
      </c>
      <c r="L321">
        <v>-2.30499999999999E-2</v>
      </c>
      <c r="M321">
        <v>1.6299999999999981E-2</v>
      </c>
      <c r="N321">
        <v>-4.7300000000000009E-2</v>
      </c>
      <c r="O321">
        <v>1.4449999999999959E-2</v>
      </c>
      <c r="Q321">
        <v>0.27692068743181147</v>
      </c>
      <c r="R321">
        <v>0.56481370147014864</v>
      </c>
      <c r="S321">
        <v>-0.55824696385989014</v>
      </c>
      <c r="T321">
        <v>0.2458539097311814</v>
      </c>
      <c r="U321">
        <v>0.1118613134754014</v>
      </c>
      <c r="V321">
        <v>0.28138050431516598</v>
      </c>
    </row>
    <row r="322" spans="1:22" x14ac:dyDescent="0.2">
      <c r="A322" s="15">
        <v>43041.520833333343</v>
      </c>
      <c r="B322" t="b">
        <v>0</v>
      </c>
      <c r="C322">
        <v>-4.9999999999954534E-3</v>
      </c>
      <c r="D322">
        <v>-9.9999999999909051E-3</v>
      </c>
      <c r="E322">
        <v>-1.9999999999996021E-2</v>
      </c>
      <c r="F322">
        <v>-2.0000000000010228E-2</v>
      </c>
      <c r="G322">
        <v>-1.2000000000000011E-2</v>
      </c>
      <c r="H322">
        <v>1.650000000000007E-2</v>
      </c>
      <c r="I322">
        <v>-8.0000000000000071E-3</v>
      </c>
      <c r="J322">
        <v>-3.3999999999999919E-2</v>
      </c>
      <c r="K322">
        <v>0</v>
      </c>
      <c r="L322">
        <v>-6.7000000000000393E-3</v>
      </c>
      <c r="M322">
        <v>1.599999999999935E-3</v>
      </c>
      <c r="N322">
        <v>-1.1300000000000089E-2</v>
      </c>
      <c r="O322">
        <v>-1.99999999999978E-4</v>
      </c>
      <c r="Q322">
        <v>-0.18671028662799929</v>
      </c>
      <c r="R322">
        <v>5.6263538428904516E-3</v>
      </c>
      <c r="S322">
        <v>-9.1498290790660519E-2</v>
      </c>
      <c r="T322">
        <v>-0.1437384063984837</v>
      </c>
      <c r="U322">
        <v>8.5910573855016992E-2</v>
      </c>
      <c r="V322">
        <v>-0.19831222001391779</v>
      </c>
    </row>
    <row r="323" spans="1:22" x14ac:dyDescent="0.2">
      <c r="A323" s="15">
        <v>43083.5</v>
      </c>
      <c r="B323" t="b">
        <v>1</v>
      </c>
      <c r="C323">
        <v>-5.0000000000096634E-3</v>
      </c>
      <c r="D323">
        <v>-1.999999999998181E-2</v>
      </c>
      <c r="E323">
        <v>-1.999999999998181E-2</v>
      </c>
      <c r="F323">
        <v>-3.000000000000114E-2</v>
      </c>
      <c r="G323">
        <v>-2.500000000000013E-2</v>
      </c>
      <c r="H323">
        <v>-2.449999999999997E-2</v>
      </c>
      <c r="I323">
        <v>-2.9000000000000029E-2</v>
      </c>
      <c r="J323">
        <v>-2.8000000000000021E-2</v>
      </c>
      <c r="K323">
        <v>-2.0000000000000569E-3</v>
      </c>
      <c r="L323">
        <v>-1.61E-2</v>
      </c>
      <c r="M323">
        <v>-7.0000000000000062E-3</v>
      </c>
      <c r="N323">
        <v>-2.079999999999993E-2</v>
      </c>
      <c r="O323">
        <v>-8.0000000000000071E-3</v>
      </c>
      <c r="P323">
        <v>-2.849999999999997E-2</v>
      </c>
      <c r="Q323">
        <v>0.13370326556434969</v>
      </c>
      <c r="R323">
        <v>0.21009007528697049</v>
      </c>
      <c r="S323">
        <v>-0.1339634777801528</v>
      </c>
      <c r="T323">
        <v>9.0659186182506346E-2</v>
      </c>
      <c r="U323">
        <v>-4.7359295571482107E-2</v>
      </c>
      <c r="V323">
        <v>0.13088683367709561</v>
      </c>
    </row>
    <row r="324" spans="1:22" x14ac:dyDescent="0.2">
      <c r="A324" s="15">
        <v>43139.5</v>
      </c>
      <c r="B324" t="b">
        <v>1</v>
      </c>
      <c r="C324">
        <v>1.0000000000005119E-2</v>
      </c>
      <c r="D324">
        <v>4.9999999999997158E-2</v>
      </c>
      <c r="E324">
        <v>5.0000000000011369E-2</v>
      </c>
      <c r="F324">
        <v>5.0000000000011369E-2</v>
      </c>
      <c r="G324">
        <v>5.0000000000000037E-2</v>
      </c>
      <c r="H324">
        <v>2.1000000000000019E-2</v>
      </c>
      <c r="I324">
        <v>4.3000000000000038E-2</v>
      </c>
      <c r="J324">
        <v>5.600000000000005E-2</v>
      </c>
      <c r="K324">
        <v>0</v>
      </c>
      <c r="L324">
        <v>3.0750000000000059E-2</v>
      </c>
      <c r="M324">
        <v>9.000000000000119E-4</v>
      </c>
      <c r="N324">
        <v>5.3100000000000147E-2</v>
      </c>
      <c r="O324">
        <v>9.9999999999988987E-5</v>
      </c>
      <c r="P324">
        <v>6.7499999999999893E-2</v>
      </c>
      <c r="Q324">
        <v>-2.79515043223455E-2</v>
      </c>
      <c r="R324">
        <v>-0.54635614822100287</v>
      </c>
      <c r="S324">
        <v>0.50618477881183566</v>
      </c>
      <c r="T324">
        <v>-7.5087942086952353E-2</v>
      </c>
      <c r="U324">
        <v>-9.5912130363672077E-2</v>
      </c>
      <c r="V324">
        <v>-6.7370127917570244E-2</v>
      </c>
    </row>
    <row r="325" spans="1:22" x14ac:dyDescent="0.2">
      <c r="A325" s="15">
        <v>43139.520833333343</v>
      </c>
      <c r="B325" t="b">
        <v>0</v>
      </c>
      <c r="C325">
        <v>0</v>
      </c>
      <c r="D325">
        <v>-1.0000000000005119E-2</v>
      </c>
      <c r="E325">
        <v>0</v>
      </c>
      <c r="F325">
        <v>0</v>
      </c>
      <c r="G325">
        <v>-3.5000000000000591E-3</v>
      </c>
      <c r="H325">
        <v>2.1500000000000071E-2</v>
      </c>
      <c r="I325">
        <v>-1.000000000000012E-2</v>
      </c>
      <c r="J325">
        <v>1.149999999999984E-2</v>
      </c>
      <c r="K325">
        <v>0</v>
      </c>
      <c r="L325">
        <v>2.5000000000000582E-3</v>
      </c>
      <c r="M325">
        <v>5.0000000000000044E-4</v>
      </c>
      <c r="N325">
        <v>2.9500000000000082E-3</v>
      </c>
      <c r="O325">
        <v>4.400000000000015E-3</v>
      </c>
      <c r="P325">
        <v>-1.0499999999999949E-3</v>
      </c>
      <c r="Q325">
        <v>0.30036345577116208</v>
      </c>
      <c r="R325">
        <v>-7.4253894601225667E-2</v>
      </c>
      <c r="S325">
        <v>0.342820747851448</v>
      </c>
      <c r="T325">
        <v>0.27506453143610088</v>
      </c>
      <c r="U325">
        <v>1.4071415784201241E-2</v>
      </c>
      <c r="V325">
        <v>0.34484584360996001</v>
      </c>
    </row>
    <row r="326" spans="1:22" x14ac:dyDescent="0.2">
      <c r="A326" s="15">
        <v>43181.5</v>
      </c>
      <c r="B326" t="b">
        <v>1</v>
      </c>
      <c r="C326">
        <v>-1.0000000000005119E-2</v>
      </c>
      <c r="D326">
        <v>-1.0000000000005119E-2</v>
      </c>
      <c r="E326">
        <v>-1.500000000000057E-2</v>
      </c>
      <c r="F326">
        <v>-1.999999999998181E-2</v>
      </c>
      <c r="G326">
        <v>-3.000000000000003E-2</v>
      </c>
      <c r="H326">
        <v>-2.2499999999999961E-2</v>
      </c>
      <c r="I326">
        <v>-2.6499999999999971E-2</v>
      </c>
      <c r="J326">
        <v>-2.6499999999999971E-2</v>
      </c>
      <c r="K326">
        <v>0</v>
      </c>
      <c r="L326">
        <v>-1.01500000000001E-2</v>
      </c>
      <c r="M326">
        <v>-1.870000000000005E-2</v>
      </c>
      <c r="N326">
        <v>-2.0650000000000061E-2</v>
      </c>
      <c r="O326">
        <v>-1.4250000000000099E-2</v>
      </c>
      <c r="P326">
        <v>-2.9299999999999882E-2</v>
      </c>
      <c r="Q326">
        <v>-0.1125737749388236</v>
      </c>
      <c r="R326">
        <v>9.1932895465918207E-2</v>
      </c>
      <c r="S326">
        <v>-6.7110540639319538E-2</v>
      </c>
      <c r="T326">
        <v>-9.4818905598572201E-2</v>
      </c>
      <c r="U326">
        <v>-2.6214440415401441E-2</v>
      </c>
      <c r="V326">
        <v>-0.1136340932694111</v>
      </c>
    </row>
    <row r="327" spans="1:22" x14ac:dyDescent="0.2">
      <c r="A327" s="15">
        <v>43230.458333333343</v>
      </c>
      <c r="B327" t="b">
        <v>1</v>
      </c>
      <c r="C327">
        <v>-2.5000000000005681E-2</v>
      </c>
      <c r="D327">
        <v>-2.9999999999986929E-2</v>
      </c>
      <c r="E327">
        <v>-3.9999999999992042E-2</v>
      </c>
      <c r="F327">
        <v>-4.9999999999997158E-2</v>
      </c>
      <c r="G327">
        <v>-3.2000000000000028E-2</v>
      </c>
      <c r="H327">
        <v>-5.4000000000000048E-2</v>
      </c>
      <c r="I327">
        <v>-5.0499999999999989E-2</v>
      </c>
      <c r="J327">
        <v>-4.149999999999987E-2</v>
      </c>
      <c r="K327">
        <v>0</v>
      </c>
      <c r="L327">
        <v>-3.6600000000000077E-2</v>
      </c>
      <c r="M327">
        <v>-2.395000000000003E-2</v>
      </c>
      <c r="N327">
        <v>-4.1199999999999903E-2</v>
      </c>
      <c r="O327">
        <v>-2.5550000000000021E-2</v>
      </c>
      <c r="P327">
        <v>-4.1799999999999948E-2</v>
      </c>
      <c r="Q327">
        <v>0.51105762337010674</v>
      </c>
      <c r="R327">
        <v>0.65581484515565514</v>
      </c>
      <c r="S327">
        <v>-0.6600197260683629</v>
      </c>
      <c r="T327">
        <v>0.42333010303957508</v>
      </c>
      <c r="U327">
        <v>0.16231484995842041</v>
      </c>
      <c r="V327">
        <v>0.49838276064042469</v>
      </c>
    </row>
    <row r="328" spans="1:22" x14ac:dyDescent="0.2">
      <c r="A328" s="15">
        <v>43230.479166666657</v>
      </c>
      <c r="B328" t="b">
        <v>0</v>
      </c>
      <c r="C328">
        <v>-4.9999999999954534E-3</v>
      </c>
      <c r="D328">
        <v>0</v>
      </c>
      <c r="E328">
        <v>0</v>
      </c>
      <c r="F328">
        <v>-1.0000000000005119E-2</v>
      </c>
      <c r="G328">
        <v>-1.0000000000000229E-2</v>
      </c>
      <c r="H328">
        <v>-2.2499999999999961E-2</v>
      </c>
      <c r="I328">
        <v>-2.5499999999999971E-2</v>
      </c>
      <c r="J328">
        <v>-1.5000000000000119E-2</v>
      </c>
      <c r="K328">
        <v>0</v>
      </c>
      <c r="L328">
        <v>-1.0499999999999949E-3</v>
      </c>
      <c r="M328">
        <v>-1.2999999999999681E-3</v>
      </c>
      <c r="N328">
        <v>-6.1499999999999888E-3</v>
      </c>
      <c r="O328">
        <v>-3.0499999999999972E-3</v>
      </c>
      <c r="P328">
        <v>-9.6000000000000529E-3</v>
      </c>
      <c r="Q328">
        <v>-7.5201494495217958E-2</v>
      </c>
      <c r="R328">
        <v>0.1364489381071223</v>
      </c>
      <c r="S328">
        <v>0.2217377751721088</v>
      </c>
      <c r="T328">
        <v>-6.074368488066284E-2</v>
      </c>
      <c r="U328">
        <v>-1.4689268839219951E-2</v>
      </c>
      <c r="V328">
        <v>-7.1708797569726812E-2</v>
      </c>
    </row>
    <row r="329" spans="1:22" x14ac:dyDescent="0.2">
      <c r="A329" s="15">
        <v>43272.458333333343</v>
      </c>
      <c r="B329" t="b">
        <v>1</v>
      </c>
      <c r="C329">
        <v>3.7499999999994323E-2</v>
      </c>
      <c r="D329">
        <v>3.9999999999992042E-2</v>
      </c>
      <c r="E329">
        <v>3.9999999999992042E-2</v>
      </c>
      <c r="F329">
        <v>4.9999999999997158E-2</v>
      </c>
      <c r="G329">
        <v>5.0999999999999927E-2</v>
      </c>
      <c r="H329">
        <v>4.5499999999999867E-2</v>
      </c>
      <c r="I329">
        <v>4.8500000000000099E-2</v>
      </c>
      <c r="J329">
        <v>5.2000000000000053E-2</v>
      </c>
      <c r="K329">
        <v>0</v>
      </c>
      <c r="L329">
        <v>3.2499999999999973E-2</v>
      </c>
      <c r="M329">
        <v>1.1800000000000029E-2</v>
      </c>
      <c r="N329">
        <v>4.2000000000000037E-2</v>
      </c>
      <c r="O329">
        <v>2.1699999999999942E-2</v>
      </c>
      <c r="P329">
        <v>3.9399999999999991E-2</v>
      </c>
      <c r="Q329">
        <v>-0.60661493717316262</v>
      </c>
      <c r="R329">
        <v>-0.61629959964883696</v>
      </c>
      <c r="S329">
        <v>0.71445162153381858</v>
      </c>
      <c r="T329">
        <v>-0.48543147763473371</v>
      </c>
      <c r="U329">
        <v>-0.15815370401617199</v>
      </c>
      <c r="V329">
        <v>-0.5792911326251442</v>
      </c>
    </row>
    <row r="330" spans="1:22" x14ac:dyDescent="0.2">
      <c r="A330" s="15">
        <v>43314.458333333343</v>
      </c>
      <c r="B330" t="b">
        <v>1</v>
      </c>
      <c r="C330">
        <v>1.0000000000005119E-2</v>
      </c>
      <c r="D330">
        <v>0</v>
      </c>
      <c r="E330">
        <v>0</v>
      </c>
      <c r="F330">
        <v>-9.9999999999909051E-3</v>
      </c>
      <c r="G330">
        <v>-1.199999999999979E-2</v>
      </c>
      <c r="H330">
        <v>-1.5000000000000571E-3</v>
      </c>
      <c r="I330">
        <v>-4.4999999999999476E-3</v>
      </c>
      <c r="J330">
        <v>-9.000000000000119E-3</v>
      </c>
      <c r="K330">
        <v>1.419999999999999E-2</v>
      </c>
      <c r="L330">
        <v>5.4000000000000714E-3</v>
      </c>
      <c r="M330">
        <v>1.7399999999999971E-2</v>
      </c>
      <c r="N330">
        <v>-2.7000000000000361E-3</v>
      </c>
      <c r="O330">
        <v>1.6699999999999941E-2</v>
      </c>
      <c r="P330">
        <v>-1.3499999999999851E-2</v>
      </c>
      <c r="Q330">
        <v>0.1133711358509117</v>
      </c>
      <c r="R330">
        <v>-0.1745938321915759</v>
      </c>
      <c r="S330">
        <v>0.14518781444685661</v>
      </c>
      <c r="T330">
        <v>6.0347202598791228E-2</v>
      </c>
      <c r="U330">
        <v>-0.15005677914427909</v>
      </c>
      <c r="V330">
        <v>0.1070374223749013</v>
      </c>
    </row>
    <row r="331" spans="1:22" x14ac:dyDescent="0.2">
      <c r="A331" s="15">
        <v>43314.479166666657</v>
      </c>
      <c r="B331" t="b">
        <v>0</v>
      </c>
      <c r="C331">
        <v>0</v>
      </c>
      <c r="D331">
        <v>-9.9999999999909051E-3</v>
      </c>
      <c r="E331">
        <v>-1.0000000000005119E-2</v>
      </c>
      <c r="F331">
        <v>-9.9999999999909051E-3</v>
      </c>
      <c r="G331">
        <v>-2.4999999999999471E-3</v>
      </c>
      <c r="H331">
        <v>2.4999999999999471E-3</v>
      </c>
      <c r="I331">
        <v>-9.9999999999988987E-4</v>
      </c>
      <c r="J331">
        <v>-2.0000000000000022E-3</v>
      </c>
      <c r="K331">
        <v>-4.1999999999999824E-3</v>
      </c>
      <c r="L331">
        <v>-8.1999999999999851E-3</v>
      </c>
      <c r="M331">
        <v>-8.0000000000002292E-4</v>
      </c>
      <c r="N331">
        <v>-1.039999999999996E-2</v>
      </c>
      <c r="O331">
        <v>-1.499999999999946E-3</v>
      </c>
      <c r="P331">
        <v>-6.9999999999998952E-3</v>
      </c>
      <c r="Q331">
        <v>0.24300539579246561</v>
      </c>
      <c r="R331">
        <v>0.50630171161107285</v>
      </c>
      <c r="S331">
        <v>-0.45530275887369598</v>
      </c>
      <c r="T331">
        <v>0.19617713132981859</v>
      </c>
      <c r="U331">
        <v>2.8179319588161889E-3</v>
      </c>
      <c r="V331">
        <v>0.23708508851700569</v>
      </c>
    </row>
    <row r="332" spans="1:22" x14ac:dyDescent="0.2">
      <c r="A332" s="15">
        <v>43356.458333333343</v>
      </c>
      <c r="B332" t="b">
        <v>1</v>
      </c>
      <c r="C332">
        <v>-4.9999999999954534E-3</v>
      </c>
      <c r="D332">
        <v>-1.000000000001933E-2</v>
      </c>
      <c r="E332">
        <v>-1.0000000000005119E-2</v>
      </c>
      <c r="F332">
        <v>-1.0000000000005119E-2</v>
      </c>
      <c r="G332">
        <v>-4.9999999999994493E-4</v>
      </c>
      <c r="H332">
        <v>-5.4999999999999494E-3</v>
      </c>
      <c r="I332">
        <v>-3.499999999999837E-3</v>
      </c>
      <c r="J332">
        <v>-1.000000000000334E-3</v>
      </c>
      <c r="K332">
        <v>0</v>
      </c>
      <c r="L332">
        <v>-3.700000000000037E-3</v>
      </c>
      <c r="M332">
        <v>-9.9999999999988987E-5</v>
      </c>
      <c r="N332">
        <v>-4.8499999999999099E-3</v>
      </c>
      <c r="O332">
        <v>-1.99999999999978E-4</v>
      </c>
      <c r="P332">
        <v>-9.6499999999999364E-3</v>
      </c>
      <c r="Q332">
        <v>0.19518214630318201</v>
      </c>
      <c r="R332">
        <v>0.1571709557337311</v>
      </c>
      <c r="S332">
        <v>-9.9620683360516438E-2</v>
      </c>
      <c r="T332">
        <v>0.17649673526489101</v>
      </c>
      <c r="U332">
        <v>0.14418548420314889</v>
      </c>
      <c r="V332">
        <v>0.19506721892878429</v>
      </c>
    </row>
    <row r="333" spans="1:22" x14ac:dyDescent="0.2">
      <c r="A333" s="15">
        <v>43405.5</v>
      </c>
      <c r="B333" t="b">
        <v>1</v>
      </c>
      <c r="C333">
        <v>4.9999999999954534E-3</v>
      </c>
      <c r="D333">
        <v>0</v>
      </c>
      <c r="E333">
        <v>1.0000000000005119E-2</v>
      </c>
      <c r="F333">
        <v>0</v>
      </c>
      <c r="G333">
        <v>4.9999999999998934E-3</v>
      </c>
      <c r="H333">
        <v>7.4999999999999512E-3</v>
      </c>
      <c r="I333">
        <v>6.5000000000000613E-3</v>
      </c>
      <c r="J333">
        <v>2.0000000000002238E-3</v>
      </c>
      <c r="K333">
        <v>0</v>
      </c>
      <c r="L333">
        <v>5.0000000000001146E-3</v>
      </c>
      <c r="M333">
        <v>-5.3999999999999604E-3</v>
      </c>
      <c r="N333">
        <v>4.850000000000132E-3</v>
      </c>
      <c r="O333">
        <v>-2.4999999999999471E-3</v>
      </c>
      <c r="P333">
        <v>2.9999999999974492E-4</v>
      </c>
      <c r="Q333">
        <v>-0.30224244558883129</v>
      </c>
      <c r="R333">
        <v>-0.11897681355887529</v>
      </c>
      <c r="S333">
        <v>0.15870868680610431</v>
      </c>
      <c r="T333">
        <v>-0.23879755405846481</v>
      </c>
      <c r="U333">
        <v>-0.11803080588401831</v>
      </c>
      <c r="V333">
        <v>-0.28756441161669949</v>
      </c>
    </row>
    <row r="334" spans="1:22" x14ac:dyDescent="0.2">
      <c r="A334" s="15">
        <v>43405.520833333343</v>
      </c>
      <c r="B334" t="b">
        <v>0</v>
      </c>
      <c r="C334">
        <v>0</v>
      </c>
      <c r="D334">
        <v>-9.9999999999909051E-3</v>
      </c>
      <c r="E334">
        <v>-1.0000000000005119E-2</v>
      </c>
      <c r="F334">
        <v>-1.000000000001933E-2</v>
      </c>
      <c r="G334">
        <v>2.9999999999998921E-3</v>
      </c>
      <c r="H334">
        <v>1.5000000000000571E-3</v>
      </c>
      <c r="I334">
        <v>4.4999999999999476E-3</v>
      </c>
      <c r="J334">
        <v>1.9999999999997802E-3</v>
      </c>
      <c r="K334">
        <v>0</v>
      </c>
      <c r="L334">
        <v>-5.6999999999999273E-3</v>
      </c>
      <c r="M334">
        <v>5.0000000000000036E-3</v>
      </c>
      <c r="N334">
        <v>-6.6500000000000448E-3</v>
      </c>
      <c r="O334">
        <v>1.499999999999946E-3</v>
      </c>
      <c r="P334">
        <v>-8.0500000000001126E-3</v>
      </c>
      <c r="Q334">
        <v>0.14766896713376809</v>
      </c>
      <c r="R334">
        <v>-0.10771892075403321</v>
      </c>
      <c r="S334">
        <v>-1.1610581122617701E-2</v>
      </c>
      <c r="T334">
        <v>0.12836104129723941</v>
      </c>
      <c r="U334">
        <v>2.1203189935135921E-2</v>
      </c>
      <c r="V334">
        <v>0.1507708373144396</v>
      </c>
    </row>
    <row r="335" spans="1:22" x14ac:dyDescent="0.2">
      <c r="A335" s="15">
        <v>43454.5</v>
      </c>
      <c r="B335" t="b">
        <v>1</v>
      </c>
      <c r="C335">
        <v>-9.9999999999909051E-3</v>
      </c>
      <c r="D335">
        <v>-9.9999999999909051E-3</v>
      </c>
      <c r="E335">
        <v>-1.250000000000284E-2</v>
      </c>
      <c r="F335">
        <v>-1.500000000000057E-2</v>
      </c>
      <c r="G335">
        <v>-1.6000000000000011E-2</v>
      </c>
      <c r="H335">
        <v>-1.4000000000000011E-2</v>
      </c>
      <c r="I335">
        <v>-1.5000000000000119E-2</v>
      </c>
      <c r="J335">
        <v>-1.7999999999999901E-2</v>
      </c>
      <c r="L335">
        <v>-8.6500000000000465E-3</v>
      </c>
      <c r="M335">
        <v>-3.800000000000026E-3</v>
      </c>
      <c r="N335">
        <v>-1.149999999999984E-2</v>
      </c>
      <c r="O335">
        <v>-4.550000000000054E-3</v>
      </c>
      <c r="P335">
        <v>-1.2499999999999961E-2</v>
      </c>
      <c r="Q335">
        <v>-0.10374597988584359</v>
      </c>
      <c r="R335">
        <v>8.8544554761206484E-2</v>
      </c>
      <c r="S335">
        <v>-0.15759823599962169</v>
      </c>
      <c r="T335">
        <v>-8.1982793635347662E-2</v>
      </c>
      <c r="U335">
        <v>2.0509887190200971E-3</v>
      </c>
      <c r="V335">
        <v>-0.1030263905374795</v>
      </c>
    </row>
    <row r="336" spans="1:22" x14ac:dyDescent="0.2">
      <c r="A336" s="15">
        <v>43503.5</v>
      </c>
      <c r="B336" t="b">
        <v>1</v>
      </c>
      <c r="C336">
        <v>-1.9999999999996021E-2</v>
      </c>
      <c r="D336">
        <v>-3.000000000000114E-2</v>
      </c>
      <c r="E336">
        <v>-2.9999999999986929E-2</v>
      </c>
      <c r="F336">
        <v>-3.50000000000108E-2</v>
      </c>
      <c r="G336">
        <v>-1.4499999999999961E-2</v>
      </c>
      <c r="H336">
        <v>-1.2500000000000179E-2</v>
      </c>
      <c r="I336">
        <v>-1.4000000000000011E-2</v>
      </c>
      <c r="J336">
        <v>-1.4499999999999961E-2</v>
      </c>
      <c r="K336">
        <v>0</v>
      </c>
      <c r="L336">
        <v>-2.380000000000004E-2</v>
      </c>
      <c r="M336">
        <v>-1.0000000000000011E-3</v>
      </c>
      <c r="N336">
        <v>-2.534999999999998E-2</v>
      </c>
      <c r="O336">
        <v>-1.799999999999913E-3</v>
      </c>
      <c r="P336">
        <v>-2.4299999999999988E-2</v>
      </c>
      <c r="Q336">
        <v>0.22168666819538879</v>
      </c>
      <c r="R336">
        <v>0.14219494475656269</v>
      </c>
      <c r="S336">
        <v>-7.7573504782186831E-2</v>
      </c>
      <c r="T336">
        <v>0.18134776161957691</v>
      </c>
      <c r="U336">
        <v>5.5542038815588057E-2</v>
      </c>
      <c r="V336">
        <v>0.2123474812568702</v>
      </c>
    </row>
    <row r="337" spans="1:22" x14ac:dyDescent="0.2">
      <c r="A337" s="15">
        <v>43503.520833333343</v>
      </c>
      <c r="B337" t="b">
        <v>0</v>
      </c>
      <c r="C337">
        <v>0</v>
      </c>
      <c r="D337">
        <v>4.9999999999954534E-3</v>
      </c>
      <c r="E337">
        <v>1.5000000000014779E-2</v>
      </c>
      <c r="F337">
        <v>2.2499999999993751E-2</v>
      </c>
      <c r="G337">
        <v>2.0000000000000021E-2</v>
      </c>
      <c r="H337">
        <v>2.0499999999999959E-2</v>
      </c>
      <c r="I337">
        <v>2.0499999999999959E-2</v>
      </c>
      <c r="J337">
        <v>1.7999999999999901E-2</v>
      </c>
      <c r="K337">
        <v>0</v>
      </c>
      <c r="L337">
        <v>1.034999999999997E-2</v>
      </c>
      <c r="M337">
        <v>-1.000000000001E-4</v>
      </c>
      <c r="N337">
        <v>2.3900000000000029E-2</v>
      </c>
      <c r="O337">
        <v>-1.0999999999999901E-3</v>
      </c>
      <c r="P337">
        <v>2.5499999999999971E-2</v>
      </c>
      <c r="Q337">
        <v>-0.45097493900175317</v>
      </c>
      <c r="R337">
        <v>-0.45563354824717628</v>
      </c>
      <c r="S337">
        <v>0.49956537238016102</v>
      </c>
      <c r="T337">
        <v>-0.38400210591578338</v>
      </c>
      <c r="U337">
        <v>-0.1684570026276333</v>
      </c>
      <c r="V337">
        <v>-0.43484311592897029</v>
      </c>
    </row>
    <row r="338" spans="1:22" x14ac:dyDescent="0.2">
      <c r="A338" s="15">
        <v>43545.5</v>
      </c>
      <c r="B338" t="b">
        <v>1</v>
      </c>
      <c r="C338">
        <v>0</v>
      </c>
      <c r="D338">
        <v>-4.9999999999954534E-3</v>
      </c>
      <c r="E338">
        <v>-9.9999999999909051E-3</v>
      </c>
      <c r="F338">
        <v>-1.250000000000284E-2</v>
      </c>
      <c r="G338">
        <v>-8.999999999999897E-3</v>
      </c>
      <c r="H338">
        <v>-5.0000000000005596E-4</v>
      </c>
      <c r="I338">
        <v>-6.0000000000000053E-3</v>
      </c>
      <c r="J338">
        <v>-8.0000000000000071E-3</v>
      </c>
      <c r="K338">
        <v>0</v>
      </c>
      <c r="L338">
        <v>-3.399999999999959E-3</v>
      </c>
      <c r="M338">
        <v>-1.500000000000945E-4</v>
      </c>
      <c r="N338">
        <v>-1.179999999999992E-2</v>
      </c>
      <c r="O338">
        <v>-9.9999999999988987E-5</v>
      </c>
      <c r="P338">
        <v>-7.7500000000000346E-3</v>
      </c>
      <c r="Q338">
        <v>-5.8690512809903339E-2</v>
      </c>
      <c r="R338">
        <v>-5.7640211406233988E-2</v>
      </c>
      <c r="S338">
        <v>0.11804803259633451</v>
      </c>
      <c r="T338">
        <v>-4.2991402381971973E-2</v>
      </c>
      <c r="U338">
        <v>3.1985478034812331E-2</v>
      </c>
      <c r="V338">
        <v>-5.7804615183044923E-2</v>
      </c>
    </row>
    <row r="339" spans="1:22" x14ac:dyDescent="0.2">
      <c r="A339" s="15">
        <v>43587.458333333343</v>
      </c>
      <c r="B339" t="b">
        <v>1</v>
      </c>
      <c r="C339">
        <v>-1.4999999999986359E-2</v>
      </c>
      <c r="D339">
        <v>-1.500000000000057E-2</v>
      </c>
      <c r="E339">
        <v>-4.9999999999954534E-3</v>
      </c>
      <c r="F339">
        <v>0</v>
      </c>
      <c r="G339">
        <v>0</v>
      </c>
      <c r="H339">
        <v>0</v>
      </c>
      <c r="I339">
        <v>0</v>
      </c>
      <c r="J339">
        <v>0</v>
      </c>
      <c r="K339">
        <v>1.0000000000001119E-3</v>
      </c>
      <c r="L339">
        <v>-6.1999999999999833E-3</v>
      </c>
      <c r="M339">
        <v>-6.0000000000004494E-4</v>
      </c>
      <c r="N339">
        <v>-1.0999999999999901E-3</v>
      </c>
      <c r="O339">
        <v>-1.600000000000046E-3</v>
      </c>
      <c r="P339">
        <v>6.2999999999999723E-3</v>
      </c>
      <c r="Q339">
        <v>-9.5475166661913136E-2</v>
      </c>
      <c r="R339">
        <v>2.9123103563733821E-2</v>
      </c>
      <c r="S339">
        <v>4.9801751752394097E-2</v>
      </c>
      <c r="T339">
        <v>-6.8466489318097956E-2</v>
      </c>
      <c r="U339">
        <v>5.8128359804868517E-2</v>
      </c>
      <c r="V339">
        <v>-0.101390605114716</v>
      </c>
    </row>
    <row r="340" spans="1:22" x14ac:dyDescent="0.2">
      <c r="A340" s="15">
        <v>43587.479166666657</v>
      </c>
      <c r="B340" t="b">
        <v>0</v>
      </c>
      <c r="C340">
        <v>0</v>
      </c>
      <c r="D340">
        <v>0</v>
      </c>
      <c r="E340">
        <v>-4.9999999999954534E-3</v>
      </c>
      <c r="F340">
        <v>7.5000000000073896E-3</v>
      </c>
      <c r="G340">
        <v>8.999999999999897E-3</v>
      </c>
      <c r="H340">
        <v>7.4999999999999512E-3</v>
      </c>
      <c r="I340">
        <v>6.4999999999999503E-3</v>
      </c>
      <c r="J340">
        <v>6.0000000000001164E-3</v>
      </c>
      <c r="K340">
        <v>0</v>
      </c>
      <c r="L340">
        <v>2.9500000000000082E-3</v>
      </c>
      <c r="M340">
        <v>0</v>
      </c>
      <c r="N340">
        <v>8.3500000000000796E-3</v>
      </c>
      <c r="O340">
        <v>-2.9999999999996701E-4</v>
      </c>
      <c r="P340">
        <v>1.1300000000000089E-2</v>
      </c>
      <c r="Q340">
        <v>-0.16032477722501429</v>
      </c>
      <c r="R340">
        <v>-1.164144355213104E-2</v>
      </c>
      <c r="S340">
        <v>-2.6835860537893549E-2</v>
      </c>
      <c r="T340">
        <v>-0.14363183283433051</v>
      </c>
      <c r="U340">
        <v>-4.5129924237585328E-2</v>
      </c>
      <c r="V340">
        <v>-0.1640613821834904</v>
      </c>
    </row>
    <row r="341" spans="1:22" x14ac:dyDescent="0.2">
      <c r="A341" s="15">
        <v>43636.458333333343</v>
      </c>
      <c r="B341" t="b">
        <v>1</v>
      </c>
      <c r="C341">
        <v>-2.2499999999993751E-2</v>
      </c>
      <c r="D341">
        <v>-3.9999999999992042E-2</v>
      </c>
      <c r="E341">
        <v>-4.7499999999999432E-2</v>
      </c>
      <c r="F341">
        <v>-4.5000000000001712E-2</v>
      </c>
      <c r="G341">
        <v>-1.9000000000000131E-2</v>
      </c>
      <c r="H341">
        <v>-1.349999999999996E-2</v>
      </c>
      <c r="I341">
        <v>-2.1000000000000019E-2</v>
      </c>
      <c r="J341">
        <v>-2.1999999999999909E-2</v>
      </c>
      <c r="K341">
        <v>0</v>
      </c>
      <c r="L341">
        <v>-2.9900000000000041E-2</v>
      </c>
      <c r="M341">
        <v>-4.2999999999999714E-3</v>
      </c>
      <c r="N341">
        <v>-3.5624999999999907E-2</v>
      </c>
      <c r="O341">
        <v>-7.7500000000000346E-3</v>
      </c>
      <c r="P341">
        <v>-3.8499999999999979E-2</v>
      </c>
      <c r="Q341">
        <v>0.13109465902073231</v>
      </c>
      <c r="R341">
        <v>0.25852877885064979</v>
      </c>
      <c r="S341">
        <v>-0.1534496966524799</v>
      </c>
      <c r="T341">
        <v>9.1856203488987376E-2</v>
      </c>
      <c r="U341">
        <v>-3.0259221754363349E-2</v>
      </c>
      <c r="V341">
        <v>0.12197181637066019</v>
      </c>
    </row>
    <row r="342" spans="1:22" x14ac:dyDescent="0.2">
      <c r="A342" s="15">
        <v>43678.458333333343</v>
      </c>
      <c r="B342" t="b">
        <v>1</v>
      </c>
      <c r="C342">
        <v>5.0000000000096634E-3</v>
      </c>
      <c r="D342">
        <v>1.500000000000057E-2</v>
      </c>
      <c r="E342">
        <v>1.500000000000057E-2</v>
      </c>
      <c r="F342">
        <v>2.0000000000010228E-2</v>
      </c>
      <c r="G342">
        <v>1.349999999999996E-2</v>
      </c>
      <c r="H342">
        <v>1.550000000000001E-2</v>
      </c>
      <c r="I342">
        <v>1.1499999999999949E-2</v>
      </c>
      <c r="J342">
        <v>1.299999999999996E-2</v>
      </c>
      <c r="K342">
        <v>0</v>
      </c>
      <c r="L342">
        <v>1.424999999999998E-2</v>
      </c>
      <c r="M342">
        <v>3.3000000000000811E-3</v>
      </c>
      <c r="N342">
        <v>1.9349999999999978E-2</v>
      </c>
      <c r="O342">
        <v>3.700000000000037E-3</v>
      </c>
      <c r="P342">
        <v>1.7249999999999991E-2</v>
      </c>
      <c r="Q342">
        <v>-0.30292461705744239</v>
      </c>
      <c r="R342">
        <v>-4.3902975131693722E-2</v>
      </c>
      <c r="S342">
        <v>1.238415655157254E-2</v>
      </c>
      <c r="T342">
        <v>-0.28312610265800231</v>
      </c>
      <c r="U342">
        <v>-0.3158220794891804</v>
      </c>
      <c r="V342">
        <v>-0.28596162636483768</v>
      </c>
    </row>
    <row r="343" spans="1:22" x14ac:dyDescent="0.2">
      <c r="A343" s="15">
        <v>43678.479166666657</v>
      </c>
      <c r="B343" t="b">
        <v>0</v>
      </c>
      <c r="C343">
        <v>5.0000000000096634E-3</v>
      </c>
      <c r="D343">
        <v>0</v>
      </c>
      <c r="E343">
        <v>-1.4999999999986359E-2</v>
      </c>
      <c r="F343">
        <v>-1.500000000000057E-2</v>
      </c>
      <c r="G343">
        <v>-1.3000000000000121E-2</v>
      </c>
      <c r="H343">
        <v>-1.4500000000000009E-2</v>
      </c>
      <c r="I343">
        <v>-1.4499999999999961E-2</v>
      </c>
      <c r="J343">
        <v>-1.550000000000001E-2</v>
      </c>
      <c r="K343">
        <v>0</v>
      </c>
      <c r="L343">
        <v>2.1499999999999848E-3</v>
      </c>
      <c r="M343">
        <v>1.3499999999999619E-3</v>
      </c>
      <c r="N343">
        <v>-9.199999999999986E-3</v>
      </c>
      <c r="O343">
        <v>3.0000000000001141E-3</v>
      </c>
      <c r="P343">
        <v>-1.2050000000000061E-2</v>
      </c>
      <c r="Q343">
        <v>-0.22685581038433611</v>
      </c>
      <c r="R343">
        <v>3.8416157210370727E-2</v>
      </c>
      <c r="S343">
        <v>3.715860574126495E-2</v>
      </c>
      <c r="T343">
        <v>-0.18102978345143581</v>
      </c>
      <c r="U343">
        <v>-1.766026052939651E-2</v>
      </c>
      <c r="V343">
        <v>-0.22017221991052341</v>
      </c>
    </row>
    <row r="344" spans="1:22" x14ac:dyDescent="0.2">
      <c r="A344" s="15">
        <v>43727.458333333343</v>
      </c>
      <c r="B344" t="b">
        <v>1</v>
      </c>
      <c r="C344">
        <v>-1.500000000000057E-2</v>
      </c>
      <c r="D344">
        <v>-1.9999999999996021E-2</v>
      </c>
      <c r="E344">
        <v>-2.5000000000005681E-2</v>
      </c>
      <c r="F344">
        <v>-2.499999999999147E-2</v>
      </c>
      <c r="G344">
        <v>-2.1000000000000019E-2</v>
      </c>
      <c r="H344">
        <v>-2.149999999999996E-2</v>
      </c>
      <c r="I344">
        <v>-2.050000000000007E-2</v>
      </c>
      <c r="J344">
        <v>-2.149999999999996E-2</v>
      </c>
      <c r="K344">
        <v>1.1000000000001009E-3</v>
      </c>
      <c r="L344">
        <v>-1.6499999999999959E-2</v>
      </c>
      <c r="M344">
        <v>-4.0000000000006702E-4</v>
      </c>
      <c r="N344">
        <v>-7.7749999999999764E-3</v>
      </c>
      <c r="O344">
        <v>-2.0999999999999912E-3</v>
      </c>
      <c r="P344">
        <v>-2.585000000000004E-2</v>
      </c>
      <c r="Q344">
        <v>0.12564735501382529</v>
      </c>
      <c r="R344">
        <v>4.5009565292316367E-2</v>
      </c>
      <c r="S344">
        <v>-8.0298711248829591E-3</v>
      </c>
      <c r="T344">
        <v>0.1114308101629149</v>
      </c>
      <c r="U344">
        <v>5.9330699702172751E-2</v>
      </c>
      <c r="V344">
        <v>0.12864009380996319</v>
      </c>
    </row>
    <row r="345" spans="1:22" x14ac:dyDescent="0.2">
      <c r="A345" s="15">
        <v>43776.5</v>
      </c>
      <c r="B345" t="b">
        <v>1</v>
      </c>
      <c r="C345">
        <v>-1.999999999998181E-2</v>
      </c>
      <c r="D345">
        <v>-3.4999999999996589E-2</v>
      </c>
      <c r="E345">
        <v>-4.9999999999997158E-2</v>
      </c>
      <c r="F345">
        <v>-6.0000000000002267E-2</v>
      </c>
      <c r="G345">
        <v>-2.9999999999999919E-2</v>
      </c>
      <c r="H345">
        <v>-3.7499999999999978E-2</v>
      </c>
      <c r="I345">
        <v>-4.0999999999999932E-2</v>
      </c>
      <c r="J345">
        <v>-3.9500000000000042E-2</v>
      </c>
      <c r="K345">
        <v>0</v>
      </c>
      <c r="L345">
        <v>-3.4850000000000048E-2</v>
      </c>
      <c r="M345">
        <v>-4.249999999999976E-3</v>
      </c>
      <c r="N345">
        <v>-5.0049999999999928E-2</v>
      </c>
      <c r="O345">
        <v>-9.5499999999999474E-3</v>
      </c>
      <c r="P345">
        <v>-5.2799999999999958E-2</v>
      </c>
      <c r="Q345">
        <v>5.7468351732836709E-2</v>
      </c>
      <c r="R345">
        <v>0.2317095400361211</v>
      </c>
      <c r="S345">
        <v>-0.26482860047008572</v>
      </c>
      <c r="T345">
        <v>1.9853890141007469E-2</v>
      </c>
      <c r="U345">
        <v>-0.1016113905914153</v>
      </c>
      <c r="V345">
        <v>5.220364937076738E-2</v>
      </c>
    </row>
    <row r="346" spans="1:22" x14ac:dyDescent="0.2">
      <c r="A346" s="15">
        <v>43776.520833333343</v>
      </c>
      <c r="B346" t="b">
        <v>0</v>
      </c>
      <c r="C346">
        <v>-4.9999999999954534E-3</v>
      </c>
      <c r="D346">
        <v>0</v>
      </c>
      <c r="E346">
        <v>0</v>
      </c>
      <c r="F346">
        <v>1.0000000000005119E-2</v>
      </c>
      <c r="G346">
        <v>-9.9999999999988987E-4</v>
      </c>
      <c r="H346">
        <v>-1.300000000000001E-2</v>
      </c>
      <c r="I346">
        <v>-1.2000000000000011E-2</v>
      </c>
      <c r="J346">
        <v>-5.4999999999999494E-3</v>
      </c>
      <c r="K346">
        <v>0</v>
      </c>
      <c r="L346">
        <v>-2.9499999999998971E-3</v>
      </c>
      <c r="M346">
        <v>5.5000000000005045E-4</v>
      </c>
      <c r="N346">
        <v>4.5999999999999366E-3</v>
      </c>
      <c r="O346">
        <v>2.7499999999999192E-3</v>
      </c>
      <c r="P346">
        <v>4.2999999999999714E-3</v>
      </c>
      <c r="Q346">
        <v>0.1249472513757155</v>
      </c>
      <c r="R346">
        <v>8.0999773000721476E-2</v>
      </c>
      <c r="S346">
        <v>-0.15601844182041799</v>
      </c>
      <c r="T346">
        <v>0.1589009970012967</v>
      </c>
      <c r="U346">
        <v>0.25169448861458932</v>
      </c>
      <c r="V346">
        <v>0.1410793815493889</v>
      </c>
    </row>
    <row r="347" spans="1:22" x14ac:dyDescent="0.2">
      <c r="A347" s="15">
        <v>43818.5</v>
      </c>
      <c r="B347" t="b">
        <v>1</v>
      </c>
      <c r="C347">
        <v>1.9999999999996021E-2</v>
      </c>
      <c r="D347">
        <v>1.999999999998181E-2</v>
      </c>
      <c r="E347">
        <v>2.0000000000010228E-2</v>
      </c>
      <c r="F347">
        <v>1.999999999998181E-2</v>
      </c>
      <c r="G347">
        <v>2.449999999999997E-2</v>
      </c>
      <c r="H347">
        <v>2.600000000000002E-2</v>
      </c>
      <c r="I347">
        <v>2.3499999999999969E-2</v>
      </c>
      <c r="J347">
        <v>2.600000000000002E-2</v>
      </c>
      <c r="K347">
        <v>2.9999999999996701E-4</v>
      </c>
      <c r="L347">
        <v>1.4499999999999961E-2</v>
      </c>
      <c r="M347">
        <v>5.0499999999999989E-3</v>
      </c>
      <c r="N347">
        <v>1.5899999999999911E-2</v>
      </c>
      <c r="O347">
        <v>6.3999999999999613E-3</v>
      </c>
      <c r="P347">
        <v>1.6849999999999921E-2</v>
      </c>
      <c r="Q347">
        <v>1.6537399366370661E-2</v>
      </c>
      <c r="R347">
        <v>-0.14119310499529189</v>
      </c>
      <c r="S347">
        <v>9.9297288941048834E-2</v>
      </c>
      <c r="T347">
        <v>4.7686148843695259E-4</v>
      </c>
      <c r="U347">
        <v>-2.9634020071512172E-2</v>
      </c>
      <c r="V347">
        <v>-1.3230882200332419E-4</v>
      </c>
    </row>
    <row r="348" spans="1:22" x14ac:dyDescent="0.2">
      <c r="A348" s="15">
        <v>43860.5</v>
      </c>
      <c r="B348" t="b">
        <v>1</v>
      </c>
      <c r="C348">
        <v>8.99999999999892E-2</v>
      </c>
      <c r="D348">
        <v>7.5000000000002842E-2</v>
      </c>
      <c r="E348">
        <v>7.4999999999988631E-2</v>
      </c>
      <c r="F348">
        <v>7.000000000000739E-2</v>
      </c>
      <c r="G348">
        <v>4.7000000000000042E-2</v>
      </c>
      <c r="H348">
        <v>8.0999999999999961E-2</v>
      </c>
      <c r="I348">
        <v>7.1500000000000008E-2</v>
      </c>
      <c r="J348">
        <v>6.0499999999999998E-2</v>
      </c>
      <c r="K348">
        <v>0</v>
      </c>
      <c r="L348">
        <v>8.5600000000000009E-2</v>
      </c>
      <c r="M348">
        <v>0.12180000000000001</v>
      </c>
      <c r="N348">
        <v>7.7749999999999986E-2</v>
      </c>
      <c r="O348">
        <v>0.1167999999999999</v>
      </c>
      <c r="Q348">
        <v>-0.44666524983597361</v>
      </c>
      <c r="R348">
        <v>-0.40870781015350488</v>
      </c>
      <c r="S348">
        <v>0.47480560941552602</v>
      </c>
      <c r="T348">
        <v>-0.37346432993354028</v>
      </c>
      <c r="U348">
        <v>-0.22725272307002339</v>
      </c>
      <c r="V348">
        <v>-0.41335052074873602</v>
      </c>
    </row>
    <row r="349" spans="1:22" x14ac:dyDescent="0.2">
      <c r="A349" s="15">
        <v>43860.520833333343</v>
      </c>
      <c r="B349" t="b">
        <v>0</v>
      </c>
      <c r="C349">
        <v>1.500000000000057E-2</v>
      </c>
      <c r="D349">
        <v>1.4999999999986359E-2</v>
      </c>
      <c r="E349">
        <v>1.500000000000057E-2</v>
      </c>
      <c r="F349">
        <v>1.0000000000005119E-2</v>
      </c>
      <c r="G349">
        <v>2.6499999999999971E-2</v>
      </c>
      <c r="H349">
        <v>3.1500000000000077E-2</v>
      </c>
      <c r="I349">
        <v>2.9500000000000082E-2</v>
      </c>
      <c r="J349">
        <v>2.200000000000002E-2</v>
      </c>
      <c r="K349">
        <v>0</v>
      </c>
      <c r="L349">
        <v>1.060000000000005E-2</v>
      </c>
      <c r="M349">
        <v>2.7499999999999192E-3</v>
      </c>
      <c r="N349">
        <v>1.184999999999992E-2</v>
      </c>
      <c r="O349">
        <v>1.5399999999999969E-2</v>
      </c>
      <c r="Q349">
        <v>-3.0715151342860739E-2</v>
      </c>
      <c r="R349">
        <v>-0.2373606621174105</v>
      </c>
      <c r="S349">
        <v>0.25602337300145089</v>
      </c>
      <c r="T349">
        <v>-6.1295526616049763E-2</v>
      </c>
      <c r="U349">
        <v>-0.24407356065182739</v>
      </c>
      <c r="V349">
        <v>-2.4759156448112659E-2</v>
      </c>
    </row>
    <row r="350" spans="1:22" x14ac:dyDescent="0.2">
      <c r="A350" s="15">
        <v>43909.606249999997</v>
      </c>
      <c r="B350" t="b">
        <v>1</v>
      </c>
      <c r="C350">
        <v>-1.9999999999996021E-2</v>
      </c>
      <c r="D350">
        <v>-2.2500000000007962E-2</v>
      </c>
      <c r="E350">
        <v>-3.2500000000013067E-2</v>
      </c>
      <c r="F350">
        <v>-3.4999999999996589E-2</v>
      </c>
      <c r="G350">
        <v>-0.1525</v>
      </c>
      <c r="H350">
        <v>-0.13200000000000001</v>
      </c>
      <c r="I350">
        <v>-0.15150000000000011</v>
      </c>
      <c r="J350">
        <v>-0.15399999999999989</v>
      </c>
      <c r="K350">
        <v>-7.1200000000000013E-2</v>
      </c>
      <c r="L350">
        <v>-6.1099999999999988E-2</v>
      </c>
      <c r="M350">
        <v>-6.4700000000000008E-2</v>
      </c>
      <c r="N350">
        <v>-6.7299999999999999E-2</v>
      </c>
      <c r="O350">
        <v>-6.1749999999999992E-2</v>
      </c>
      <c r="Q350">
        <v>1.251432797306393</v>
      </c>
      <c r="R350">
        <v>-0.46534362421030112</v>
      </c>
      <c r="S350">
        <v>0.50073931425075635</v>
      </c>
      <c r="T350">
        <v>1.386483820480066</v>
      </c>
      <c r="U350">
        <v>2.1176215648231391</v>
      </c>
      <c r="V350">
        <v>1.2825763968490951</v>
      </c>
    </row>
    <row r="351" spans="1:22" x14ac:dyDescent="0.2">
      <c r="A351" s="15">
        <v>43916.5</v>
      </c>
      <c r="B351" t="b">
        <v>1</v>
      </c>
      <c r="C351">
        <v>1.5000000000014779E-2</v>
      </c>
      <c r="D351">
        <v>0</v>
      </c>
      <c r="E351">
        <v>0</v>
      </c>
      <c r="F351">
        <v>0</v>
      </c>
      <c r="G351">
        <v>-4.500000000000004E-3</v>
      </c>
      <c r="H351">
        <v>-3.5000000000000031E-3</v>
      </c>
      <c r="I351">
        <v>-1.0000000000000011E-3</v>
      </c>
      <c r="J351">
        <v>-4.5000000000000604E-3</v>
      </c>
      <c r="K351">
        <v>0</v>
      </c>
      <c r="L351">
        <v>-4.1999999999999954E-3</v>
      </c>
      <c r="M351">
        <v>-1.0000000000000011E-3</v>
      </c>
      <c r="N351">
        <v>-8.1499999999999906E-3</v>
      </c>
      <c r="O351">
        <v>-2.2000000000000079E-3</v>
      </c>
      <c r="Q351">
        <v>-0.6111243301727427</v>
      </c>
      <c r="R351">
        <v>0</v>
      </c>
      <c r="S351">
        <v>-0.18380822285906009</v>
      </c>
      <c r="T351">
        <v>-0.43482613094454342</v>
      </c>
      <c r="U351">
        <v>0.17625178575633529</v>
      </c>
      <c r="V351">
        <v>-0.56535094064554414</v>
      </c>
    </row>
    <row r="352" spans="1:22" x14ac:dyDescent="0.2">
      <c r="A352" s="15">
        <v>43958.3125</v>
      </c>
      <c r="B352" t="b">
        <v>0</v>
      </c>
      <c r="C352">
        <v>0</v>
      </c>
      <c r="D352">
        <v>-5.0000000000096634E-3</v>
      </c>
      <c r="E352">
        <v>-2.4999999999977258E-3</v>
      </c>
      <c r="F352">
        <v>0</v>
      </c>
      <c r="G352">
        <v>1.0000000000000011E-2</v>
      </c>
      <c r="H352">
        <v>7.5000000000000067E-3</v>
      </c>
      <c r="I352">
        <v>7.9999999999998996E-3</v>
      </c>
      <c r="J352">
        <v>9.000000000000008E-3</v>
      </c>
      <c r="L352">
        <v>-1.100000000000004E-3</v>
      </c>
      <c r="M352">
        <v>-6.0000000000000331E-4</v>
      </c>
      <c r="N352">
        <v>-1.4500000000000071E-3</v>
      </c>
      <c r="O352">
        <v>-1.199999999999993E-3</v>
      </c>
      <c r="Q352">
        <v>-6.3937258417354315E-2</v>
      </c>
      <c r="R352">
        <v>0.21785251980112541</v>
      </c>
      <c r="S352">
        <v>-0.31077860865860879</v>
      </c>
      <c r="T352">
        <v>-7.7480737874907391E-2</v>
      </c>
      <c r="U352">
        <v>-1.373972670046442E-2</v>
      </c>
      <c r="V352">
        <v>-9.6446703666515532E-2</v>
      </c>
    </row>
    <row r="353" spans="1:26" x14ac:dyDescent="0.2">
      <c r="A353" s="15">
        <v>44000.458333333343</v>
      </c>
      <c r="B353" t="b">
        <v>1</v>
      </c>
      <c r="C353">
        <v>4.9999999999954534E-3</v>
      </c>
      <c r="D353">
        <v>9.9999999999909051E-3</v>
      </c>
      <c r="E353">
        <v>2.0000000000010228E-2</v>
      </c>
      <c r="F353">
        <v>1.7499999999998291E-2</v>
      </c>
      <c r="G353">
        <v>5.7500000000000002E-2</v>
      </c>
      <c r="H353">
        <v>4.4499999999999998E-2</v>
      </c>
      <c r="I353">
        <v>4.6499999999999993E-2</v>
      </c>
      <c r="J353">
        <v>4.7999999999999897E-2</v>
      </c>
      <c r="K353">
        <v>0</v>
      </c>
      <c r="L353">
        <v>9.9500000000000005E-3</v>
      </c>
      <c r="M353">
        <v>5.4999999999999979E-3</v>
      </c>
      <c r="N353">
        <v>1.9300000000000029E-2</v>
      </c>
      <c r="O353">
        <v>6.8500000000000089E-3</v>
      </c>
      <c r="Q353">
        <v>-0.61420076266620072</v>
      </c>
      <c r="R353">
        <v>-0.1945363701633962</v>
      </c>
      <c r="S353">
        <v>9.5984649826462487E-2</v>
      </c>
      <c r="T353">
        <v>-0.59960032607898484</v>
      </c>
      <c r="U353">
        <v>-0.60717859051578671</v>
      </c>
      <c r="V353">
        <v>-0.61442128095700355</v>
      </c>
    </row>
    <row r="354" spans="1:26" x14ac:dyDescent="0.2">
      <c r="A354" s="15">
        <v>44049.3125</v>
      </c>
      <c r="B354" t="b">
        <v>0</v>
      </c>
      <c r="C354">
        <v>-4.9999999999954534E-3</v>
      </c>
      <c r="D354">
        <v>0</v>
      </c>
      <c r="E354">
        <v>-2.4999999999977258E-3</v>
      </c>
      <c r="F354">
        <v>0</v>
      </c>
      <c r="G354">
        <v>-1.6000000000000011E-2</v>
      </c>
      <c r="H354">
        <v>4.9999999999995187E-4</v>
      </c>
      <c r="I354">
        <v>-3.0000000000000031E-3</v>
      </c>
      <c r="J354">
        <v>-4.0000000000000044E-3</v>
      </c>
      <c r="L354">
        <v>2.8E-3</v>
      </c>
      <c r="M354">
        <v>1.099999999999997E-3</v>
      </c>
      <c r="N354">
        <v>2.8000000000000039E-3</v>
      </c>
      <c r="O354">
        <v>1.8999999999999989E-3</v>
      </c>
      <c r="Q354">
        <v>-0.5457550988451203</v>
      </c>
      <c r="R354">
        <v>-0.23308740227207991</v>
      </c>
      <c r="S354">
        <v>2.278856024142684E-2</v>
      </c>
      <c r="T354">
        <v>-0.4310370734292519</v>
      </c>
      <c r="U354">
        <v>-4.0080504111983828E-2</v>
      </c>
      <c r="V354">
        <v>-0.52667659570340675</v>
      </c>
    </row>
    <row r="355" spans="1:26" x14ac:dyDescent="0.2">
      <c r="A355" s="15">
        <v>44091.458333333343</v>
      </c>
      <c r="B355" t="b">
        <v>1</v>
      </c>
      <c r="C355">
        <v>-2.499999999999147E-2</v>
      </c>
      <c r="D355">
        <v>-4.4999999999987488E-2</v>
      </c>
      <c r="E355">
        <v>-6.0000000000002267E-2</v>
      </c>
      <c r="F355">
        <v>-6.4999999999997726E-2</v>
      </c>
      <c r="G355">
        <v>-3.749999999999995E-2</v>
      </c>
      <c r="H355">
        <v>-4.1500000000000002E-2</v>
      </c>
      <c r="I355">
        <v>-4.6999999999999952E-2</v>
      </c>
      <c r="J355">
        <v>-4.2999999999999997E-2</v>
      </c>
      <c r="L355">
        <v>-2.7400000000000001E-2</v>
      </c>
      <c r="M355">
        <v>-2.3999999999999989E-3</v>
      </c>
      <c r="N355">
        <v>-5.1450000000000003E-2</v>
      </c>
      <c r="O355">
        <v>-3.65E-3</v>
      </c>
      <c r="Q355">
        <v>0.26063767521395681</v>
      </c>
      <c r="R355">
        <v>0.54815682944946431</v>
      </c>
      <c r="S355">
        <v>-0.48319543557461131</v>
      </c>
      <c r="T355">
        <v>0.21152680411694291</v>
      </c>
      <c r="U355">
        <v>1.6780206176349569E-2</v>
      </c>
      <c r="V355">
        <v>0.256549600137987</v>
      </c>
    </row>
    <row r="356" spans="1:26" x14ac:dyDescent="0.2">
      <c r="A356" s="15">
        <v>44140.333333333343</v>
      </c>
      <c r="B356" t="b">
        <v>0</v>
      </c>
      <c r="C356">
        <v>-5.0000000000096634E-3</v>
      </c>
      <c r="D356">
        <v>-1.500000000000057E-2</v>
      </c>
      <c r="E356">
        <v>-1.500000000000057E-2</v>
      </c>
      <c r="F356">
        <v>-1.500000000000057E-2</v>
      </c>
    </row>
    <row r="357" spans="1:26" x14ac:dyDescent="0.2">
      <c r="A357" s="15">
        <v>44182.5</v>
      </c>
      <c r="B357" t="b">
        <v>1</v>
      </c>
      <c r="C357">
        <v>0</v>
      </c>
      <c r="D357">
        <v>4.9999999999954534E-3</v>
      </c>
      <c r="E357">
        <v>0</v>
      </c>
      <c r="F357">
        <v>0</v>
      </c>
      <c r="G357">
        <v>-7.0000000000000062E-3</v>
      </c>
      <c r="H357">
        <v>-1.0500000000000001E-2</v>
      </c>
      <c r="I357">
        <v>-5.9999999999999906E-3</v>
      </c>
      <c r="J357">
        <v>-6.4999999999999503E-3</v>
      </c>
      <c r="K357">
        <v>5.9999999999999429E-3</v>
      </c>
      <c r="L357">
        <v>1.7000000000000519E-3</v>
      </c>
      <c r="M357">
        <v>1.100000000000004E-3</v>
      </c>
      <c r="N357">
        <v>-7.9999999999999863E-4</v>
      </c>
      <c r="O357">
        <v>1.699999999999993E-3</v>
      </c>
      <c r="Q357">
        <v>1.141617673476958E-2</v>
      </c>
      <c r="R357">
        <v>5.0065364158704988E-2</v>
      </c>
      <c r="S357">
        <v>-6.2432290538506408E-2</v>
      </c>
      <c r="T357">
        <v>4.3675657716221387E-2</v>
      </c>
      <c r="U357">
        <v>0.1179515067435659</v>
      </c>
      <c r="V357">
        <v>2.207376146623119E-2</v>
      </c>
    </row>
    <row r="358" spans="1:26" x14ac:dyDescent="0.2">
      <c r="A358" s="15">
        <v>44231.5</v>
      </c>
      <c r="B358" t="b">
        <v>1</v>
      </c>
      <c r="C358">
        <v>2.499999999999147E-2</v>
      </c>
      <c r="D358">
        <v>4.4999999999987488E-2</v>
      </c>
      <c r="E358">
        <v>4.0000000000006253E-2</v>
      </c>
      <c r="F358">
        <v>3.4999999999996589E-2</v>
      </c>
      <c r="G358">
        <v>4.1999999999999982E-2</v>
      </c>
      <c r="H358">
        <v>4.2000000000000051E-2</v>
      </c>
      <c r="I358">
        <v>4.3000000000000052E-2</v>
      </c>
      <c r="J358">
        <v>4.2999999999999948E-2</v>
      </c>
      <c r="K358">
        <v>0</v>
      </c>
      <c r="L358">
        <v>3.1699999999999999E-2</v>
      </c>
      <c r="M358">
        <v>6.2999999999999792E-3</v>
      </c>
      <c r="N358">
        <v>3.7099999999999987E-2</v>
      </c>
      <c r="O358">
        <v>8.2500000000000073E-3</v>
      </c>
      <c r="Q358">
        <v>-0.41120393111020798</v>
      </c>
      <c r="R358">
        <v>-0.52785546975753306</v>
      </c>
      <c r="S358">
        <v>0.47757337012817302</v>
      </c>
      <c r="T358">
        <v>-0.36617060666628731</v>
      </c>
      <c r="U358">
        <v>-0.23757666706865169</v>
      </c>
      <c r="V358">
        <v>-0.40142175800815488</v>
      </c>
    </row>
    <row r="359" spans="1:26" x14ac:dyDescent="0.2">
      <c r="A359" s="15">
        <v>44231.541666666657</v>
      </c>
      <c r="B359" t="b">
        <v>0</v>
      </c>
      <c r="C359">
        <v>0</v>
      </c>
      <c r="D359">
        <v>0</v>
      </c>
      <c r="E359">
        <v>1.0000000000005119E-2</v>
      </c>
      <c r="F359">
        <v>4.9999999999954534E-3</v>
      </c>
      <c r="G359">
        <v>2.5000000000000019E-2</v>
      </c>
      <c r="H359">
        <v>8.4999999999999937E-3</v>
      </c>
      <c r="I359">
        <v>1.2E-2</v>
      </c>
      <c r="J359">
        <v>1.100000000000005E-2</v>
      </c>
      <c r="K359">
        <v>0</v>
      </c>
      <c r="L359">
        <v>-3.0000000000000171E-4</v>
      </c>
      <c r="M359">
        <v>-3.9999999999999758E-4</v>
      </c>
      <c r="N359">
        <v>5.6000000000000008E-3</v>
      </c>
      <c r="O359">
        <v>1.0000000000000291E-4</v>
      </c>
      <c r="Q359">
        <v>0.13195686149811081</v>
      </c>
      <c r="R359">
        <v>-0.28490047760748821</v>
      </c>
      <c r="S359">
        <v>0.24890203186768639</v>
      </c>
      <c r="T359">
        <v>0.12598273594312559</v>
      </c>
      <c r="U359">
        <v>0.14695958076038099</v>
      </c>
      <c r="V359">
        <v>0.12893358934456961</v>
      </c>
    </row>
    <row r="360" spans="1:26" x14ac:dyDescent="0.2">
      <c r="A360" s="15">
        <v>44273.5</v>
      </c>
      <c r="B360" t="b">
        <v>1</v>
      </c>
      <c r="G360">
        <v>-9.4999999999999529E-3</v>
      </c>
      <c r="H360">
        <v>-8.5000000000000006E-3</v>
      </c>
      <c r="I360">
        <v>-1.0000000000000011E-2</v>
      </c>
      <c r="J360">
        <v>-1.150000000000001E-2</v>
      </c>
      <c r="K360">
        <v>0</v>
      </c>
      <c r="L360">
        <v>-1.0000000000000291E-4</v>
      </c>
      <c r="M360">
        <v>0</v>
      </c>
      <c r="N360">
        <v>-9.000000000000119E-4</v>
      </c>
      <c r="O360">
        <v>2.000000000000057E-4</v>
      </c>
      <c r="P360">
        <v>-4.6000000000000207E-3</v>
      </c>
      <c r="Q360">
        <v>3.7063118915057203E-2</v>
      </c>
      <c r="R360">
        <v>0.13441254982198991</v>
      </c>
      <c r="S360">
        <v>-0.19355538499107891</v>
      </c>
      <c r="T360">
        <v>2.209918904975439E-2</v>
      </c>
      <c r="U360">
        <v>1.6756743874566379E-2</v>
      </c>
      <c r="V360">
        <v>2.1345255134633589E-2</v>
      </c>
    </row>
    <row r="361" spans="1:26" x14ac:dyDescent="0.2">
      <c r="A361" s="15">
        <v>44322.458333333343</v>
      </c>
      <c r="B361" t="b">
        <v>1</v>
      </c>
      <c r="G361">
        <v>1.7999999999999901E-2</v>
      </c>
      <c r="H361">
        <v>1.4999999999999999E-2</v>
      </c>
      <c r="I361">
        <v>1.4E-2</v>
      </c>
      <c r="J361">
        <v>1.699999999999996E-2</v>
      </c>
      <c r="K361">
        <v>-4.5000000000000601E-4</v>
      </c>
      <c r="L361">
        <v>1.600000000000004E-3</v>
      </c>
      <c r="M361">
        <v>0</v>
      </c>
      <c r="N361">
        <v>1.900000000000013E-3</v>
      </c>
      <c r="O361">
        <v>-3.9999999999999758E-4</v>
      </c>
      <c r="P361">
        <v>3.900000000000015E-3</v>
      </c>
      <c r="Q361">
        <v>-8.1843256948104681E-2</v>
      </c>
      <c r="R361">
        <v>-0.1213206769448778</v>
      </c>
      <c r="S361">
        <v>0.1005964013840952</v>
      </c>
      <c r="T361">
        <v>-7.8603058621411037E-2</v>
      </c>
      <c r="U361">
        <v>-0.1543460997858119</v>
      </c>
      <c r="V361">
        <v>-6.7229467760171246E-2</v>
      </c>
      <c r="W361">
        <v>0</v>
      </c>
      <c r="X361">
        <v>0</v>
      </c>
      <c r="Y361">
        <v>5.0000000000025996E-3</v>
      </c>
      <c r="Z361">
        <v>2.4999999999976989E-3</v>
      </c>
    </row>
    <row r="362" spans="1:26" x14ac:dyDescent="0.2">
      <c r="A362" s="15">
        <v>44322.5</v>
      </c>
      <c r="B362" t="b">
        <v>0</v>
      </c>
      <c r="G362">
        <v>1.3499999999999851E-2</v>
      </c>
      <c r="H362">
        <v>3.5000000000000001E-3</v>
      </c>
      <c r="I362">
        <v>4.4999999999999971E-3</v>
      </c>
      <c r="J362">
        <v>5.5000000000000604E-3</v>
      </c>
      <c r="K362">
        <v>0</v>
      </c>
      <c r="L362">
        <v>1.9999999999999191E-4</v>
      </c>
      <c r="M362">
        <v>1.0000000000000291E-4</v>
      </c>
      <c r="N362">
        <v>3.4000000000000141E-3</v>
      </c>
      <c r="O362">
        <v>9.9999999999995925E-5</v>
      </c>
      <c r="P362">
        <v>6.6000000000000234E-3</v>
      </c>
      <c r="Q362">
        <v>6.0516528198263593E-2</v>
      </c>
      <c r="R362">
        <v>0.28848392958824581</v>
      </c>
      <c r="S362">
        <v>-0.25888120311981311</v>
      </c>
      <c r="T362">
        <v>6.3706316047500877E-2</v>
      </c>
      <c r="U362">
        <v>5.1177392636418517E-2</v>
      </c>
      <c r="V362">
        <v>6.3426344207186958E-2</v>
      </c>
      <c r="W362">
        <v>0</v>
      </c>
      <c r="X362">
        <v>0</v>
      </c>
      <c r="Y362">
        <v>5.0000000000025996E-3</v>
      </c>
      <c r="Z362">
        <v>5.0000000000025996E-3</v>
      </c>
    </row>
    <row r="363" spans="1:26" x14ac:dyDescent="0.2">
      <c r="A363" s="15">
        <v>44371.458333333343</v>
      </c>
      <c r="B363" t="b">
        <v>1</v>
      </c>
      <c r="G363">
        <v>-1.7000000000000019E-2</v>
      </c>
      <c r="H363">
        <v>-8.9999999999999941E-3</v>
      </c>
      <c r="I363">
        <v>-1.2999999999999999E-2</v>
      </c>
      <c r="J363">
        <v>-1.550000000000001E-2</v>
      </c>
      <c r="K363">
        <v>1.0499999999999949E-3</v>
      </c>
      <c r="L363">
        <v>-8.4000000000000047E-3</v>
      </c>
      <c r="M363">
        <v>-2.300000000000003E-3</v>
      </c>
      <c r="N363">
        <v>-2.07E-2</v>
      </c>
      <c r="O363">
        <v>-2.7999999999999969E-3</v>
      </c>
      <c r="P363">
        <v>-2.6100000000000009E-2</v>
      </c>
      <c r="Q363">
        <v>0.15278841780525451</v>
      </c>
      <c r="R363">
        <v>0.32121505206842288</v>
      </c>
      <c r="S363">
        <v>-0.38709725756208258</v>
      </c>
      <c r="T363">
        <v>0.1019656244487805</v>
      </c>
      <c r="U363">
        <v>-8.3535140910157679E-2</v>
      </c>
      <c r="V363">
        <v>0.14892664386502469</v>
      </c>
      <c r="W363">
        <v>-2.5000000000048039E-3</v>
      </c>
      <c r="X363">
        <v>-2.499999999997803E-3</v>
      </c>
      <c r="Y363">
        <v>-7.5000000000002981E-3</v>
      </c>
      <c r="Z363">
        <v>-1.2499999999995711E-2</v>
      </c>
    </row>
    <row r="364" spans="1:26" x14ac:dyDescent="0.2">
      <c r="A364" s="15">
        <v>44413.458333333343</v>
      </c>
      <c r="B364" t="b">
        <v>1</v>
      </c>
      <c r="G364">
        <v>-3.0000000000000031E-3</v>
      </c>
      <c r="H364">
        <v>-1.5000000000000009E-3</v>
      </c>
      <c r="I364">
        <v>-3.5000000000000031E-3</v>
      </c>
      <c r="J364">
        <v>-5.4999999999999771E-3</v>
      </c>
      <c r="K364">
        <v>5.4999999999999494E-4</v>
      </c>
      <c r="L364">
        <v>1.699999999999993E-3</v>
      </c>
      <c r="M364">
        <v>9.4999999999999252E-4</v>
      </c>
      <c r="N364">
        <v>-3.7000000000000088E-3</v>
      </c>
      <c r="O364">
        <v>3.9999999999999758E-4</v>
      </c>
      <c r="P364">
        <v>-1.21E-2</v>
      </c>
      <c r="Q364">
        <v>-4.6116462620602761E-2</v>
      </c>
      <c r="R364">
        <v>0.11752263663136731</v>
      </c>
      <c r="S364">
        <v>-2.8727377388037208E-2</v>
      </c>
      <c r="T364">
        <v>-2.9642949665912969E-2</v>
      </c>
      <c r="U364">
        <v>1.289356873121505E-2</v>
      </c>
      <c r="V364">
        <v>-4.3880190907884753E-2</v>
      </c>
      <c r="W364">
        <v>0</v>
      </c>
      <c r="X364">
        <v>0</v>
      </c>
      <c r="Y364">
        <v>-2.5000000000048039E-3</v>
      </c>
      <c r="Z364">
        <v>-4.999999999995397E-3</v>
      </c>
    </row>
    <row r="365" spans="1:26" x14ac:dyDescent="0.2">
      <c r="A365" s="15">
        <v>44413.5</v>
      </c>
      <c r="B365" t="b">
        <v>0</v>
      </c>
      <c r="G365">
        <v>8.999999999999897E-3</v>
      </c>
      <c r="H365">
        <v>1.15E-2</v>
      </c>
      <c r="I365">
        <v>1.350000000000001E-2</v>
      </c>
      <c r="J365">
        <v>3.5000000000000031E-3</v>
      </c>
      <c r="K365">
        <v>0</v>
      </c>
      <c r="L365">
        <v>3.200000000000008E-3</v>
      </c>
      <c r="M365">
        <v>1.9999999999999191E-4</v>
      </c>
      <c r="N365">
        <v>9.3000000000000027E-3</v>
      </c>
      <c r="O365">
        <v>1.0000000000000291E-4</v>
      </c>
      <c r="P365">
        <v>7.5000000000000067E-3</v>
      </c>
      <c r="Q365">
        <v>-2.8375838164379271E-2</v>
      </c>
      <c r="R365">
        <v>2.9369438373766599E-2</v>
      </c>
      <c r="S365">
        <v>-0.14014411981646191</v>
      </c>
      <c r="T365">
        <v>-5.8781892254273771E-3</v>
      </c>
      <c r="U365">
        <v>6.7271888668642532E-2</v>
      </c>
      <c r="V365">
        <v>-2.432841972188271E-2</v>
      </c>
      <c r="W365">
        <v>0</v>
      </c>
      <c r="X365">
        <v>0</v>
      </c>
      <c r="Y365">
        <v>5.0000000000025016E-3</v>
      </c>
      <c r="Z365">
        <v>7.500000000000201E-3</v>
      </c>
    </row>
    <row r="366" spans="1:26" x14ac:dyDescent="0.2">
      <c r="A366" s="15">
        <v>44462.458333333343</v>
      </c>
      <c r="B366" t="b">
        <v>1</v>
      </c>
      <c r="G366">
        <v>1.799999999999979E-2</v>
      </c>
      <c r="H366">
        <v>2.4499999999999991E-2</v>
      </c>
      <c r="I366">
        <v>2.8000000000000021E-2</v>
      </c>
      <c r="J366">
        <v>2.0499999999999959E-2</v>
      </c>
      <c r="K366">
        <v>0</v>
      </c>
      <c r="L366">
        <v>2.3900000000000001E-2</v>
      </c>
      <c r="M366">
        <v>2.8499999999999979E-3</v>
      </c>
      <c r="N366">
        <v>3.2399999999999977E-2</v>
      </c>
      <c r="O366">
        <v>5.1000000000000073E-3</v>
      </c>
      <c r="P366">
        <v>3.4200000000000057E-2</v>
      </c>
      <c r="Q366">
        <v>-6.0199367954282927E-2</v>
      </c>
      <c r="R366">
        <v>-0.18693778080887041</v>
      </c>
      <c r="S366">
        <v>0.16437459182922251</v>
      </c>
      <c r="T366">
        <v>-5.3088621321990097E-2</v>
      </c>
      <c r="U366">
        <v>4.7825472274780623E-3</v>
      </c>
      <c r="V366">
        <v>-6.5283863739296066E-2</v>
      </c>
      <c r="W366">
        <v>2.499999999997692E-3</v>
      </c>
      <c r="X366">
        <v>2.5000000000005681E-2</v>
      </c>
      <c r="Y366">
        <v>3.0000000000001189E-2</v>
      </c>
      <c r="Z366">
        <v>3.2500000000005913E-2</v>
      </c>
    </row>
    <row r="367" spans="1:26" x14ac:dyDescent="0.2">
      <c r="A367" s="15">
        <v>44504.5</v>
      </c>
      <c r="B367" t="b">
        <v>1</v>
      </c>
      <c r="G367">
        <v>-4.1500000000000092E-2</v>
      </c>
      <c r="H367">
        <v>-8.0500000000000016E-2</v>
      </c>
      <c r="I367">
        <v>-7.6000000000000068E-2</v>
      </c>
      <c r="J367">
        <v>-8.0999999999999961E-2</v>
      </c>
      <c r="K367">
        <v>0</v>
      </c>
      <c r="L367">
        <v>-0.12190000000000011</v>
      </c>
      <c r="M367">
        <v>-0.13880000000000001</v>
      </c>
      <c r="N367">
        <v>-0.1108</v>
      </c>
      <c r="O367">
        <v>-0.14019999999999999</v>
      </c>
      <c r="P367">
        <v>-9.2050000000000187E-2</v>
      </c>
      <c r="Q367">
        <v>0.30352177269912772</v>
      </c>
      <c r="R367">
        <v>0.51187120853536783</v>
      </c>
      <c r="S367">
        <v>-0.47813545060333601</v>
      </c>
      <c r="T367">
        <v>0.35468330623177741</v>
      </c>
      <c r="U367">
        <v>0.59765296620014396</v>
      </c>
      <c r="V367">
        <v>0.29300208887707407</v>
      </c>
      <c r="W367">
        <v>-6.1249999999994087E-2</v>
      </c>
      <c r="X367">
        <v>-0.14499999999999599</v>
      </c>
      <c r="Y367">
        <v>-0.115000000000002</v>
      </c>
      <c r="Z367">
        <v>-0.1050000000000041</v>
      </c>
    </row>
    <row r="368" spans="1:26" x14ac:dyDescent="0.2">
      <c r="A368" s="15">
        <v>44504.520833333343</v>
      </c>
      <c r="B368" t="b">
        <v>0</v>
      </c>
      <c r="G368">
        <v>-1.2499999999999839E-2</v>
      </c>
      <c r="H368">
        <v>-9.1000000000000025E-2</v>
      </c>
      <c r="I368">
        <v>-4.6499999999999993E-2</v>
      </c>
      <c r="J368">
        <v>-3.8000000000000027E-2</v>
      </c>
      <c r="K368">
        <v>0</v>
      </c>
      <c r="L368">
        <v>-4.919999999999991E-2</v>
      </c>
      <c r="M368">
        <v>-6.5000000000000058E-3</v>
      </c>
      <c r="N368">
        <v>-4.5699999999999963E-2</v>
      </c>
      <c r="O368">
        <v>-1.11E-2</v>
      </c>
      <c r="P368">
        <v>-5.0699999999999967E-2</v>
      </c>
      <c r="Q368">
        <v>-0.13779326304381809</v>
      </c>
      <c r="R368">
        <v>0.21100763939550229</v>
      </c>
      <c r="S368">
        <v>-0.1070170037740823</v>
      </c>
      <c r="T368">
        <v>-3.8234067500525271E-2</v>
      </c>
      <c r="U368">
        <v>0.34603895785119221</v>
      </c>
      <c r="V368">
        <v>-0.13016584579406751</v>
      </c>
      <c r="W368">
        <v>-1.250000000005899E-3</v>
      </c>
      <c r="X368">
        <v>-3.0000000000001189E-2</v>
      </c>
      <c r="Y368">
        <v>-5.7499999999997442E-2</v>
      </c>
      <c r="Z368">
        <v>-6.25E-2</v>
      </c>
    </row>
    <row r="369" spans="1:26" x14ac:dyDescent="0.2">
      <c r="A369" s="15">
        <v>44546.5</v>
      </c>
      <c r="B369" t="b">
        <v>1</v>
      </c>
      <c r="G369">
        <v>7.8000000000000069E-2</v>
      </c>
      <c r="H369">
        <v>9.7499999999999976E-2</v>
      </c>
      <c r="I369">
        <v>9.2000000000000082E-2</v>
      </c>
      <c r="J369">
        <v>9.1500000000000026E-2</v>
      </c>
      <c r="K369">
        <v>4.9999999999999914E-3</v>
      </c>
      <c r="L369">
        <v>6.4300000000000024E-2</v>
      </c>
      <c r="M369">
        <v>8.9499999999999968E-2</v>
      </c>
      <c r="N369">
        <v>5.6899999999999951E-2</v>
      </c>
      <c r="O369">
        <v>8.3700000000000024E-2</v>
      </c>
      <c r="P369">
        <v>5.600000000000005E-2</v>
      </c>
      <c r="Q369">
        <v>-0.30670113811970617</v>
      </c>
      <c r="R369">
        <v>-0.55388745695444541</v>
      </c>
      <c r="S369">
        <v>0.64579333847665765</v>
      </c>
      <c r="T369">
        <v>-0.26076140081806898</v>
      </c>
      <c r="U369">
        <v>-0.22001261632431121</v>
      </c>
      <c r="V369">
        <v>-0.28068645946768811</v>
      </c>
      <c r="W369">
        <v>8.6249999999999716E-2</v>
      </c>
      <c r="X369">
        <v>6.4999999999997726E-2</v>
      </c>
      <c r="Y369">
        <v>4.7499999999999432E-2</v>
      </c>
      <c r="Z369">
        <v>5.7500000000004881E-2</v>
      </c>
    </row>
    <row r="370" spans="1:26" x14ac:dyDescent="0.2">
      <c r="A370" s="15">
        <v>44595.5</v>
      </c>
      <c r="B370" t="b">
        <v>1</v>
      </c>
      <c r="G370">
        <v>9.2500000000000249E-2</v>
      </c>
      <c r="H370">
        <v>0.10050000000000001</v>
      </c>
      <c r="I370">
        <v>0.1125</v>
      </c>
      <c r="J370">
        <v>9.5999999999999641E-2</v>
      </c>
      <c r="K370">
        <v>5.0000000000000036E-3</v>
      </c>
      <c r="L370">
        <v>0.16819999999999991</v>
      </c>
      <c r="M370">
        <v>3.9000000000000028E-2</v>
      </c>
      <c r="N370">
        <v>0.14839999999999989</v>
      </c>
      <c r="O370">
        <v>6.480000000000008E-2</v>
      </c>
      <c r="P370">
        <v>0.12260000000000031</v>
      </c>
      <c r="Q370">
        <v>-0.1431115349175798</v>
      </c>
      <c r="R370">
        <v>-0.25871678941558679</v>
      </c>
      <c r="S370">
        <v>0.34977300437546788</v>
      </c>
      <c r="T370">
        <v>-0.12217961450153331</v>
      </c>
      <c r="U370">
        <v>-0.1050245262998715</v>
      </c>
      <c r="V370">
        <v>-0.12756569183227379</v>
      </c>
      <c r="W370">
        <v>2.4999999999977258E-3</v>
      </c>
      <c r="X370">
        <v>0.16000000000000369</v>
      </c>
      <c r="Y370">
        <v>0.21000000000000091</v>
      </c>
      <c r="Z370">
        <v>0.19499999999999321</v>
      </c>
    </row>
    <row r="371" spans="1:26" x14ac:dyDescent="0.2">
      <c r="A371" s="15">
        <v>44595.520833333343</v>
      </c>
      <c r="B371" t="b">
        <v>0</v>
      </c>
      <c r="G371">
        <v>-2.9500000000000082E-2</v>
      </c>
      <c r="H371">
        <v>3.400000000000003E-2</v>
      </c>
      <c r="I371">
        <v>-1.6499999999999959E-2</v>
      </c>
      <c r="J371">
        <v>1.9000000000000131E-2</v>
      </c>
      <c r="K371">
        <v>-9.9999999999988987E-5</v>
      </c>
      <c r="L371">
        <v>-7.9999999999991189E-4</v>
      </c>
      <c r="M371">
        <v>2.2999999999999692E-3</v>
      </c>
      <c r="N371">
        <v>-1.7199999999999879E-2</v>
      </c>
      <c r="O371">
        <v>6.0999999999999943E-3</v>
      </c>
      <c r="P371">
        <v>-1.9000000000000131E-2</v>
      </c>
      <c r="Q371">
        <v>0.1332090246266944</v>
      </c>
      <c r="R371">
        <v>0.43326581196006592</v>
      </c>
      <c r="S371">
        <v>-0.2315539029643929</v>
      </c>
      <c r="T371">
        <v>0.1043569715287731</v>
      </c>
      <c r="U371">
        <v>-1.836743377737093E-2</v>
      </c>
      <c r="V371">
        <v>0.13386060280367931</v>
      </c>
      <c r="W371">
        <v>-2.4999999999977258E-3</v>
      </c>
      <c r="X371">
        <v>9.9999999999980105E-3</v>
      </c>
      <c r="Y371">
        <v>0</v>
      </c>
      <c r="Z371">
        <v>-1.500000000000057E-2</v>
      </c>
    </row>
    <row r="372" spans="1:26" x14ac:dyDescent="0.2">
      <c r="A372" s="15">
        <v>44637.5</v>
      </c>
      <c r="B372" t="b">
        <v>1</v>
      </c>
      <c r="G372">
        <v>-7.2000000000000064E-2</v>
      </c>
      <c r="H372">
        <v>-0.10950000000000019</v>
      </c>
      <c r="I372">
        <v>-0.1204999999999998</v>
      </c>
      <c r="J372">
        <v>-8.8999999999999968E-2</v>
      </c>
      <c r="K372">
        <v>-3.0999999999999921E-3</v>
      </c>
      <c r="L372">
        <v>-0.16590000000000019</v>
      </c>
      <c r="M372">
        <v>-7.2699999999999987E-2</v>
      </c>
      <c r="N372">
        <v>-0.16450000000000031</v>
      </c>
      <c r="O372">
        <v>-8.7700000000000111E-2</v>
      </c>
      <c r="P372">
        <v>-0.15220000000000011</v>
      </c>
      <c r="Q372">
        <v>0.22922057967457479</v>
      </c>
      <c r="R372">
        <v>0.6073254749473449</v>
      </c>
      <c r="S372">
        <v>-0.58504136781756344</v>
      </c>
      <c r="T372">
        <v>0.1519664005583081</v>
      </c>
      <c r="U372">
        <v>-8.6820076606045404E-2</v>
      </c>
      <c r="V372">
        <v>0.2084978307229903</v>
      </c>
      <c r="W372">
        <v>-8.5000000000007958E-2</v>
      </c>
      <c r="X372">
        <v>-0.18249999999999739</v>
      </c>
      <c r="Y372">
        <v>-0.20000000000000279</v>
      </c>
      <c r="Z372">
        <v>-0.19749999999999801</v>
      </c>
    </row>
    <row r="373" spans="1:26" x14ac:dyDescent="0.2">
      <c r="A373" s="15">
        <v>44686.458333333343</v>
      </c>
      <c r="B373" t="b">
        <v>1</v>
      </c>
      <c r="G373">
        <v>-7.649999999999979E-2</v>
      </c>
      <c r="H373">
        <v>-9.4999999999999973E-2</v>
      </c>
      <c r="I373">
        <v>-0.1105</v>
      </c>
      <c r="J373">
        <v>-9.8500000000000032E-2</v>
      </c>
      <c r="K373">
        <v>-2.3999999999999582E-3</v>
      </c>
      <c r="L373">
        <v>-0.1025999999999998</v>
      </c>
      <c r="M373">
        <v>-4.3400000000000112E-2</v>
      </c>
      <c r="N373">
        <v>-0.1543999999999999</v>
      </c>
      <c r="O373">
        <v>-4.5500000000000103E-2</v>
      </c>
      <c r="P373">
        <v>-0.16050000000000031</v>
      </c>
      <c r="Q373">
        <v>0.12565723686407179</v>
      </c>
      <c r="R373">
        <v>0.63769701223123931</v>
      </c>
      <c r="S373">
        <v>-0.90454889316637477</v>
      </c>
      <c r="T373">
        <v>7.7682307115310323E-2</v>
      </c>
      <c r="U373">
        <v>-0.1144835438603877</v>
      </c>
      <c r="V373">
        <v>0.1176191490853853</v>
      </c>
      <c r="W373">
        <v>-2.000000000000313E-2</v>
      </c>
      <c r="X373">
        <v>-6.499999999999817E-2</v>
      </c>
      <c r="Y373">
        <v>-0.1000000000000016</v>
      </c>
      <c r="Z373">
        <v>-0.13249999999999321</v>
      </c>
    </row>
    <row r="374" spans="1:26" x14ac:dyDescent="0.2">
      <c r="A374" s="15">
        <v>44686.479166666657</v>
      </c>
      <c r="B374" t="b">
        <v>0</v>
      </c>
      <c r="G374">
        <v>-8.5999999999999854E-2</v>
      </c>
      <c r="H374">
        <v>-0.15350000000000019</v>
      </c>
      <c r="I374">
        <v>-0.14549999999999999</v>
      </c>
      <c r="J374">
        <v>-0.1080000000000001</v>
      </c>
      <c r="K374">
        <v>0</v>
      </c>
      <c r="L374">
        <v>-7.1600000000000108E-2</v>
      </c>
      <c r="M374">
        <v>-8.3999999999999631E-3</v>
      </c>
      <c r="N374">
        <v>-8.230000000000004E-2</v>
      </c>
      <c r="O374">
        <v>-1.4299999999999979E-2</v>
      </c>
      <c r="P374">
        <v>-7.3999999999999844E-2</v>
      </c>
      <c r="Q374">
        <v>0.2540123753503849</v>
      </c>
      <c r="R374">
        <v>0.41716914696541352</v>
      </c>
      <c r="S374">
        <v>-0.67622218719423799</v>
      </c>
      <c r="T374">
        <v>0.19386466234959701</v>
      </c>
      <c r="U374">
        <v>-0.1399523688012323</v>
      </c>
      <c r="V374">
        <v>0.25588163162240107</v>
      </c>
      <c r="W374">
        <v>0</v>
      </c>
      <c r="X374">
        <v>-3.5000000000003917E-2</v>
      </c>
      <c r="Y374">
        <v>-8.9999999999996305E-2</v>
      </c>
      <c r="Z374">
        <v>-0.10000000000000139</v>
      </c>
    </row>
    <row r="375" spans="1:26" x14ac:dyDescent="0.2">
      <c r="A375" s="15">
        <v>44728.458333333343</v>
      </c>
      <c r="B375" t="b">
        <v>1</v>
      </c>
      <c r="G375">
        <v>2.2999999999999691E-2</v>
      </c>
      <c r="H375">
        <v>5.600000000000005E-2</v>
      </c>
      <c r="I375">
        <v>4.4000000000000039E-2</v>
      </c>
      <c r="J375">
        <v>6.0000000000000497E-2</v>
      </c>
      <c r="K375">
        <v>4.0000000000000044E-3</v>
      </c>
      <c r="L375">
        <v>2.329999999999988E-2</v>
      </c>
      <c r="M375">
        <v>-0.10249999999999999</v>
      </c>
      <c r="N375">
        <v>7.1299999999999919E-2</v>
      </c>
      <c r="O375">
        <v>-9.3100000000000183E-2</v>
      </c>
      <c r="P375">
        <v>7.6899999999999746E-2</v>
      </c>
      <c r="Q375">
        <v>0.17264771830696191</v>
      </c>
      <c r="R375">
        <v>0.570997298049015</v>
      </c>
      <c r="S375">
        <v>-0.48274390780660781</v>
      </c>
      <c r="T375">
        <v>0.17702126195138129</v>
      </c>
      <c r="U375">
        <v>0.27294475690598569</v>
      </c>
      <c r="V375">
        <v>0.16596228097841961</v>
      </c>
      <c r="W375">
        <v>-9.2500000000001137E-2</v>
      </c>
      <c r="X375">
        <v>1.500000000000057E-2</v>
      </c>
      <c r="Y375">
        <v>7.2500000000005116E-2</v>
      </c>
      <c r="Z375">
        <v>8.7499999999998579E-2</v>
      </c>
    </row>
    <row r="376" spans="1:26" x14ac:dyDescent="0.2">
      <c r="A376" s="15">
        <v>44777.458333333343</v>
      </c>
      <c r="B376" t="b">
        <v>1</v>
      </c>
      <c r="G376">
        <v>-4.4499999999999977E-2</v>
      </c>
      <c r="H376">
        <v>-3.1499999999999861E-2</v>
      </c>
      <c r="I376">
        <v>-4.9500000000000099E-2</v>
      </c>
      <c r="J376">
        <v>-4.4500000000000213E-2</v>
      </c>
      <c r="K376">
        <v>1.6099999999999781E-2</v>
      </c>
      <c r="L376">
        <v>-3.4800000000000157E-2</v>
      </c>
      <c r="M376">
        <v>4.2200000000000022E-2</v>
      </c>
      <c r="N376">
        <v>-7.2500000000000231E-2</v>
      </c>
      <c r="O376">
        <v>3.6899999999999711E-2</v>
      </c>
      <c r="P376">
        <v>-8.0199999999999605E-2</v>
      </c>
      <c r="Q376">
        <v>0.1044280972770366</v>
      </c>
      <c r="R376">
        <v>0.60815832564914629</v>
      </c>
      <c r="S376">
        <v>-0.60065182437947229</v>
      </c>
      <c r="T376">
        <v>3.7325642422160847E-2</v>
      </c>
      <c r="U376">
        <v>-0.2694532773211904</v>
      </c>
      <c r="V376">
        <v>9.3385012262956479E-2</v>
      </c>
      <c r="W376">
        <v>1.9999999999996021E-2</v>
      </c>
      <c r="X376">
        <v>1.500000000000057E-2</v>
      </c>
      <c r="Y376">
        <v>-4.0000000000006253E-2</v>
      </c>
      <c r="Z376">
        <v>-7.9999999999998739E-2</v>
      </c>
    </row>
    <row r="377" spans="1:26" x14ac:dyDescent="0.2">
      <c r="A377" s="15">
        <v>44777.479166666657</v>
      </c>
      <c r="B377" t="b">
        <v>0</v>
      </c>
      <c r="G377">
        <v>-4.4500000000000213E-2</v>
      </c>
      <c r="H377">
        <v>-9.0999999999999748E-2</v>
      </c>
      <c r="I377">
        <v>-0.1010000000000002</v>
      </c>
      <c r="J377">
        <v>-7.8000000000000069E-2</v>
      </c>
      <c r="K377">
        <v>3.180000000000005E-2</v>
      </c>
      <c r="L377">
        <v>-4.7800000000000058E-2</v>
      </c>
      <c r="M377">
        <v>-2.7000000000001472E-3</v>
      </c>
      <c r="N377">
        <v>-9.6200000000000063E-2</v>
      </c>
      <c r="O377">
        <v>-4.0000000000000044E-3</v>
      </c>
      <c r="P377">
        <v>-0.1259000000000001</v>
      </c>
      <c r="Q377">
        <v>0.18836831564658499</v>
      </c>
      <c r="R377">
        <v>0.1069836654789036</v>
      </c>
      <c r="S377">
        <v>-6.6074749461549231E-2</v>
      </c>
      <c r="T377">
        <v>0.18302608146132121</v>
      </c>
      <c r="U377">
        <v>0.21135876101038781</v>
      </c>
      <c r="V377">
        <v>0.18289477814232671</v>
      </c>
      <c r="W377">
        <v>-2.5000000000046101E-3</v>
      </c>
      <c r="X377">
        <v>-1.500000000000057E-2</v>
      </c>
      <c r="Y377">
        <v>-3.9999999999999147E-2</v>
      </c>
      <c r="Z377">
        <v>-8.5000000000007958E-2</v>
      </c>
    </row>
    <row r="378" spans="1:26" x14ac:dyDescent="0.2">
      <c r="A378" s="15">
        <v>44826.458333333343</v>
      </c>
      <c r="B378" t="b">
        <v>1</v>
      </c>
      <c r="G378">
        <v>8.6500000000000021E-2</v>
      </c>
      <c r="H378">
        <v>5.3499999999999659E-2</v>
      </c>
      <c r="I378">
        <v>3.8500000000000423E-2</v>
      </c>
      <c r="J378">
        <v>7.6500000000000234E-2</v>
      </c>
      <c r="K378">
        <v>6.9999999999970086E-4</v>
      </c>
      <c r="L378">
        <v>-7.6299999999999812E-2</v>
      </c>
      <c r="M378">
        <v>-0.15850000000000011</v>
      </c>
      <c r="N378">
        <v>-2.93000000000001E-2</v>
      </c>
      <c r="O378">
        <v>-0.15640000000000009</v>
      </c>
      <c r="P378">
        <v>-4.0000000000004476E-3</v>
      </c>
      <c r="Q378">
        <v>-0.1419299243015075</v>
      </c>
      <c r="R378">
        <v>0.1605136781228573</v>
      </c>
      <c r="S378">
        <v>-0.36223920866325798</v>
      </c>
      <c r="T378">
        <v>-0.11607133999996221</v>
      </c>
      <c r="U378">
        <v>1.152740560758048E-2</v>
      </c>
      <c r="V378">
        <v>-0.14044585889462269</v>
      </c>
      <c r="W378">
        <v>-0.15625</v>
      </c>
      <c r="X378">
        <v>-0.12000000000000451</v>
      </c>
      <c r="Y378">
        <v>-3.2499999999998863E-2</v>
      </c>
      <c r="Z378">
        <v>4.9999999999954534E-3</v>
      </c>
    </row>
    <row r="379" spans="1:26" x14ac:dyDescent="0.2">
      <c r="A379" s="15">
        <v>44868.5</v>
      </c>
      <c r="B379" t="b">
        <v>1</v>
      </c>
      <c r="G379">
        <v>2.5999999999999801E-2</v>
      </c>
      <c r="H379">
        <v>-1.8000000000000242E-2</v>
      </c>
      <c r="I379">
        <v>-1.3500000000000069E-2</v>
      </c>
      <c r="J379">
        <v>-1.150000000000029E-2</v>
      </c>
      <c r="K379">
        <v>4.3099999999999923E-2</v>
      </c>
      <c r="L379">
        <v>-4.6999999999999709E-2</v>
      </c>
      <c r="M379">
        <v>2.8100000000000239E-2</v>
      </c>
      <c r="N379">
        <v>-5.9000000000001052E-2</v>
      </c>
      <c r="O379">
        <v>1.01E-2</v>
      </c>
      <c r="P379">
        <v>-4.6799999999999287E-2</v>
      </c>
      <c r="Q379">
        <v>0.16572933499378451</v>
      </c>
      <c r="R379">
        <v>0.39761483796393732</v>
      </c>
      <c r="S379">
        <v>-0.24035263273345289</v>
      </c>
      <c r="T379">
        <v>0.1002713079973319</v>
      </c>
      <c r="U379">
        <v>-0.26937587592919948</v>
      </c>
      <c r="V379">
        <v>0.16595478193335109</v>
      </c>
      <c r="W379">
        <v>1.7499999999998291E-2</v>
      </c>
      <c r="X379">
        <v>-1.7499999999997851E-2</v>
      </c>
      <c r="Y379">
        <v>-6.5000000000004832E-2</v>
      </c>
      <c r="Z379">
        <v>-7.0000000000000284E-2</v>
      </c>
    </row>
    <row r="380" spans="1:26" x14ac:dyDescent="0.2">
      <c r="A380" s="15">
        <v>44868.520833333343</v>
      </c>
      <c r="B380" t="b">
        <v>0</v>
      </c>
      <c r="G380">
        <v>-1.6500000000000181E-2</v>
      </c>
      <c r="H380">
        <v>-8.0000000000000071E-2</v>
      </c>
      <c r="I380">
        <v>-7.099999999999973E-2</v>
      </c>
      <c r="J380">
        <v>-6.25E-2</v>
      </c>
      <c r="K380">
        <v>1.3700000000000051E-2</v>
      </c>
      <c r="L380">
        <v>-2.4999999999995031E-3</v>
      </c>
      <c r="M380">
        <v>-3.800000000000026E-3</v>
      </c>
      <c r="N380">
        <v>-3.2999999999999467E-2</v>
      </c>
      <c r="O380">
        <v>-1.060000000000016E-2</v>
      </c>
      <c r="P380">
        <v>-1.9999999999997802E-3</v>
      </c>
      <c r="Q380">
        <v>0.49894692406326158</v>
      </c>
      <c r="R380">
        <v>0.51685637371672755</v>
      </c>
      <c r="S380">
        <v>-0.58017746532858716</v>
      </c>
      <c r="T380">
        <v>0.40301907201501308</v>
      </c>
      <c r="U380">
        <v>-0.1237471593135524</v>
      </c>
      <c r="V380">
        <v>0.51361700736947569</v>
      </c>
      <c r="W380">
        <v>0</v>
      </c>
      <c r="X380">
        <v>-1.5000000000001011E-2</v>
      </c>
      <c r="Y380">
        <v>-2.5000000000005681E-2</v>
      </c>
      <c r="Z380">
        <v>0</v>
      </c>
    </row>
    <row r="381" spans="1:26" x14ac:dyDescent="0.2">
      <c r="A381" s="15">
        <v>44910.5</v>
      </c>
      <c r="B381" t="b">
        <v>1</v>
      </c>
      <c r="G381">
        <v>-1.2000000000000011E-2</v>
      </c>
      <c r="H381">
        <v>-3.1000000000000139E-2</v>
      </c>
      <c r="I381">
        <v>-3.5499999999999858E-2</v>
      </c>
      <c r="J381">
        <v>-3.5499999999999858E-2</v>
      </c>
      <c r="K381">
        <v>-2.2999999999999691E-2</v>
      </c>
      <c r="L381">
        <v>-6.1100000000000598E-2</v>
      </c>
      <c r="M381">
        <v>-3.9900000000000269E-2</v>
      </c>
      <c r="N381">
        <v>-5.6200000000000472E-2</v>
      </c>
      <c r="O381">
        <v>-4.8300000000000232E-2</v>
      </c>
      <c r="P381">
        <v>-5.1299999999999901E-2</v>
      </c>
      <c r="Q381">
        <v>-0.1172195656433814</v>
      </c>
      <c r="R381">
        <v>0.1567899046554562</v>
      </c>
      <c r="S381">
        <v>-0.14592625208083379</v>
      </c>
      <c r="T381">
        <v>-6.9307285059494461E-2</v>
      </c>
      <c r="U381">
        <v>4.0080900669181567E-2</v>
      </c>
      <c r="V381">
        <v>-9.4314226065421281E-2</v>
      </c>
      <c r="W381">
        <v>-2.5000000000048321E-3</v>
      </c>
      <c r="X381">
        <v>-5.0000000000005151E-2</v>
      </c>
      <c r="Y381">
        <v>-6.2500000000007105E-2</v>
      </c>
      <c r="Z381">
        <v>-6.7500000000002558E-2</v>
      </c>
    </row>
    <row r="382" spans="1:26" x14ac:dyDescent="0.2">
      <c r="A382" s="15">
        <v>44959.5</v>
      </c>
      <c r="B382" t="b">
        <v>1</v>
      </c>
      <c r="G382">
        <v>-3.6999999999999922E-2</v>
      </c>
      <c r="H382">
        <v>-2.99999999999967E-3</v>
      </c>
      <c r="I382">
        <v>-3.2000000000000028E-2</v>
      </c>
      <c r="J382">
        <v>-3.6000000000000032E-2</v>
      </c>
      <c r="K382">
        <v>0</v>
      </c>
      <c r="L382">
        <v>3.800000000000026E-3</v>
      </c>
      <c r="M382">
        <v>5.400000000000027E-2</v>
      </c>
      <c r="N382">
        <v>-3.079999999999972E-2</v>
      </c>
      <c r="O382">
        <v>4.410000000000025E-2</v>
      </c>
      <c r="P382">
        <v>-3.1600000000000072E-2</v>
      </c>
      <c r="Q382">
        <v>-0.13491810591403919</v>
      </c>
      <c r="R382">
        <v>0.21824905834304609</v>
      </c>
      <c r="S382">
        <v>-0.25185860492174328</v>
      </c>
      <c r="T382">
        <v>-9.2335894675329655E-2</v>
      </c>
      <c r="U382">
        <v>0.12979264031207549</v>
      </c>
      <c r="V382">
        <v>-0.1220189223081434</v>
      </c>
      <c r="W382">
        <v>3.2499999999999751E-2</v>
      </c>
      <c r="X382">
        <v>1.7499999999998291E-2</v>
      </c>
      <c r="Y382">
        <v>5.000000000002558E-3</v>
      </c>
      <c r="Z382">
        <v>-1.500000000000057E-2</v>
      </c>
    </row>
    <row r="383" spans="1:26" x14ac:dyDescent="0.2">
      <c r="A383" s="15">
        <v>44959.520833333343</v>
      </c>
      <c r="B383" t="b">
        <v>0</v>
      </c>
      <c r="G383">
        <v>-4.5500000000000103E-2</v>
      </c>
      <c r="H383">
        <v>-7.499999999999396E-3</v>
      </c>
      <c r="I383">
        <v>-5.1999999999999602E-2</v>
      </c>
      <c r="J383">
        <v>-4.5500000000000103E-2</v>
      </c>
      <c r="K383">
        <v>6.999999999999984E-2</v>
      </c>
      <c r="L383">
        <v>-5.9400000000001008E-2</v>
      </c>
      <c r="M383">
        <v>-4.8000000000003604E-3</v>
      </c>
      <c r="N383">
        <v>-6.7900000000000293E-2</v>
      </c>
      <c r="O383">
        <v>-1.9599999999999621E-2</v>
      </c>
      <c r="P383">
        <v>-7.1399999999999686E-2</v>
      </c>
      <c r="Q383">
        <v>0.34998189490681852</v>
      </c>
      <c r="R383">
        <v>-0.2353074087027274</v>
      </c>
      <c r="S383">
        <v>0.12590623680605259</v>
      </c>
      <c r="T383">
        <v>0.36887298013243708</v>
      </c>
      <c r="U383">
        <v>0.58708896041002845</v>
      </c>
      <c r="V383">
        <v>0.3262098658094601</v>
      </c>
      <c r="W383">
        <v>0</v>
      </c>
      <c r="X383">
        <v>-4.9999999999997158E-2</v>
      </c>
      <c r="Y383">
        <v>-4.2499999999996867E-2</v>
      </c>
      <c r="Z383">
        <v>-7.249999999999801E-2</v>
      </c>
    </row>
    <row r="384" spans="1:26" x14ac:dyDescent="0.2">
      <c r="A384" s="15">
        <v>45008.5</v>
      </c>
      <c r="B384" t="b">
        <v>1</v>
      </c>
      <c r="G384">
        <v>8.0000000000000071E-3</v>
      </c>
      <c r="H384">
        <v>2.2499999999999961E-2</v>
      </c>
      <c r="I384">
        <v>2.4000000000000021E-2</v>
      </c>
      <c r="J384">
        <v>2.1500000000000071E-2</v>
      </c>
      <c r="K384">
        <v>1.5900000000000251E-2</v>
      </c>
      <c r="L384">
        <v>4.4800000000000402E-2</v>
      </c>
      <c r="M384">
        <v>2.3800000000000491E-2</v>
      </c>
      <c r="N384">
        <v>2.339999999999964E-2</v>
      </c>
      <c r="O384">
        <v>2.8999999999999911E-2</v>
      </c>
      <c r="P384">
        <v>1.3500000000000069E-2</v>
      </c>
      <c r="Q384">
        <v>7.6637459541871067E-2</v>
      </c>
      <c r="R384">
        <v>-0.1414062587833822</v>
      </c>
      <c r="S384">
        <v>0.30468655630869179</v>
      </c>
      <c r="T384">
        <v>6.3065883936928913E-2</v>
      </c>
      <c r="U384">
        <v>3.8533438732883951E-3</v>
      </c>
      <c r="V384">
        <v>7.1837312242450935E-2</v>
      </c>
      <c r="W384">
        <v>2.4999999999998579E-2</v>
      </c>
      <c r="X384">
        <v>6.4999999999997726E-2</v>
      </c>
      <c r="Y384">
        <v>4.2500000000003979E-2</v>
      </c>
      <c r="Z384">
        <v>3.2500000000005969E-2</v>
      </c>
    </row>
    <row r="385" spans="1:26" x14ac:dyDescent="0.2">
      <c r="A385" s="15">
        <v>45057.458333333343</v>
      </c>
      <c r="B385" t="b">
        <v>1</v>
      </c>
      <c r="G385">
        <v>2.0500000000000181E-2</v>
      </c>
      <c r="H385">
        <v>2.7499999999999861E-2</v>
      </c>
      <c r="I385">
        <v>3.2499999999999751E-2</v>
      </c>
      <c r="J385">
        <v>3.0499999999999972E-2</v>
      </c>
      <c r="K385">
        <v>1.299999999998747E-3</v>
      </c>
      <c r="L385">
        <v>3.7500000000000533E-2</v>
      </c>
      <c r="M385">
        <v>-7.0000000000014495E-4</v>
      </c>
      <c r="N385">
        <v>4.0000000000000042E-2</v>
      </c>
      <c r="O385">
        <v>4.8999999999992383E-3</v>
      </c>
      <c r="P385">
        <v>3.3900000000000929E-2</v>
      </c>
      <c r="Q385">
        <v>-0.47188193623378538</v>
      </c>
      <c r="R385">
        <v>-0.19584331316277209</v>
      </c>
      <c r="S385">
        <v>0.25816597790607793</v>
      </c>
      <c r="T385">
        <v>-0.43830108337760981</v>
      </c>
      <c r="U385">
        <v>-0.35453732178859809</v>
      </c>
      <c r="V385">
        <v>-0.46382002353072949</v>
      </c>
      <c r="W385">
        <v>-4.9999999999954534E-3</v>
      </c>
      <c r="X385">
        <v>1.500000000000057E-2</v>
      </c>
      <c r="Y385">
        <v>4.5000000000001712E-2</v>
      </c>
      <c r="Z385">
        <v>5.7499999999997442E-2</v>
      </c>
    </row>
    <row r="386" spans="1:26" x14ac:dyDescent="0.2">
      <c r="A386" s="15">
        <v>45057.479166666657</v>
      </c>
      <c r="B386" t="b">
        <v>0</v>
      </c>
      <c r="G386">
        <v>-3.1499999999999861E-2</v>
      </c>
      <c r="H386">
        <v>-3.8999999999999702E-2</v>
      </c>
      <c r="I386">
        <v>-3.1500000000000312E-2</v>
      </c>
      <c r="J386">
        <v>-3.2999999999999918E-2</v>
      </c>
      <c r="K386">
        <v>5.0000000000061107E-4</v>
      </c>
      <c r="L386">
        <v>-1.8299999999999979E-2</v>
      </c>
      <c r="M386">
        <v>-2.6999999999999251E-3</v>
      </c>
      <c r="N386">
        <v>-2.9200000000001222E-2</v>
      </c>
      <c r="O386">
        <v>-4.7999999999994714E-3</v>
      </c>
      <c r="P386">
        <v>-2.3100000000001231E-2</v>
      </c>
      <c r="Q386">
        <v>-0.19752309095440521</v>
      </c>
      <c r="R386">
        <v>0.1440606957632653</v>
      </c>
      <c r="S386">
        <v>0</v>
      </c>
      <c r="T386">
        <v>-0.122908111359834</v>
      </c>
      <c r="U386">
        <v>2.61556114768382E-2</v>
      </c>
      <c r="V386">
        <v>-0.1507745467619088</v>
      </c>
      <c r="W386">
        <v>0</v>
      </c>
      <c r="X386">
        <v>-1.500000000000057E-2</v>
      </c>
      <c r="Y386">
        <v>-2.000000000000313E-2</v>
      </c>
      <c r="Z386">
        <v>-3.4999999999996589E-2</v>
      </c>
    </row>
    <row r="387" spans="1:26" x14ac:dyDescent="0.2">
      <c r="A387" s="15">
        <v>45099.458333333343</v>
      </c>
      <c r="B387" t="b">
        <v>1</v>
      </c>
      <c r="G387">
        <v>-3.9999999999999147E-2</v>
      </c>
      <c r="H387">
        <v>5.6999999999999502E-2</v>
      </c>
      <c r="I387">
        <v>2.2000000000000242E-2</v>
      </c>
      <c r="J387">
        <v>-4.0000000000013358E-3</v>
      </c>
      <c r="K387">
        <v>0.18569999999999981</v>
      </c>
      <c r="L387">
        <v>0.13319999999999951</v>
      </c>
      <c r="M387">
        <v>0.1852999999999998</v>
      </c>
      <c r="N387">
        <v>5.1400000000001E-2</v>
      </c>
      <c r="O387">
        <v>0.18480000000000099</v>
      </c>
      <c r="P387">
        <v>1.9000000000000131E-2</v>
      </c>
      <c r="Q387">
        <v>-0.15346636778349421</v>
      </c>
      <c r="R387">
        <v>0</v>
      </c>
      <c r="S387">
        <v>7.825032473903093E-3</v>
      </c>
      <c r="T387">
        <v>-0.20121767983130209</v>
      </c>
      <c r="U387">
        <v>-0.29579739232519842</v>
      </c>
      <c r="V387">
        <v>-0.18749834265520349</v>
      </c>
      <c r="W387">
        <v>0.18249999999999739</v>
      </c>
      <c r="X387">
        <v>0.1724999999999923</v>
      </c>
      <c r="Y387">
        <v>0.1099999999999994</v>
      </c>
      <c r="Z387">
        <v>6.7500000000002558E-2</v>
      </c>
    </row>
    <row r="388" spans="1:26" x14ac:dyDescent="0.2">
      <c r="A388" s="15">
        <v>45141.458333333343</v>
      </c>
      <c r="B388" t="b">
        <v>1</v>
      </c>
      <c r="G388">
        <v>4.0000000000004476E-3</v>
      </c>
      <c r="H388">
        <v>-1.700000000000124E-2</v>
      </c>
      <c r="I388">
        <v>-2.0000000000000458E-2</v>
      </c>
      <c r="J388">
        <v>-1.2999999999999901E-2</v>
      </c>
      <c r="K388">
        <v>9.0000000000003411E-3</v>
      </c>
      <c r="L388">
        <v>-7.0899999999999963E-2</v>
      </c>
      <c r="M388">
        <v>-6.8899999999999295E-2</v>
      </c>
      <c r="N388">
        <v>-5.2699999999999747E-2</v>
      </c>
      <c r="O388">
        <v>-7.4199999999999378E-2</v>
      </c>
      <c r="P388">
        <v>-3.4699999999999058E-2</v>
      </c>
      <c r="Q388">
        <v>5.3342225028131907E-2</v>
      </c>
      <c r="R388">
        <v>1.1578765179701019E-2</v>
      </c>
      <c r="S388">
        <v>1.5801845089395531E-2</v>
      </c>
      <c r="T388">
        <v>9.5818960710289502E-2</v>
      </c>
      <c r="U388">
        <v>0.3631645697746535</v>
      </c>
      <c r="V388">
        <v>5.1394578337635721E-2</v>
      </c>
      <c r="W388">
        <v>-3.7499999999994323E-2</v>
      </c>
      <c r="X388">
        <v>-8.4999999999993747E-2</v>
      </c>
      <c r="Y388">
        <v>-7.0000000000000284E-2</v>
      </c>
      <c r="Z388">
        <v>-6.25E-2</v>
      </c>
    </row>
    <row r="389" spans="1:26" x14ac:dyDescent="0.2">
      <c r="A389" s="15">
        <v>45141.479166666657</v>
      </c>
      <c r="B389" t="b">
        <v>0</v>
      </c>
      <c r="G389">
        <v>-3.0000000000001141E-3</v>
      </c>
      <c r="H389">
        <v>-1.1000000000001011E-2</v>
      </c>
      <c r="I389">
        <v>-1.9499999999999851E-2</v>
      </c>
      <c r="J389">
        <v>8.0000000000000071E-3</v>
      </c>
      <c r="K389">
        <v>-7.0800000000000196E-2</v>
      </c>
      <c r="L389">
        <v>-8.9999999999994529E-3</v>
      </c>
      <c r="M389">
        <v>-4.5000000000001714E-3</v>
      </c>
      <c r="N389">
        <v>-1.639999999999997E-2</v>
      </c>
      <c r="O389">
        <v>-9.100000000000108E-3</v>
      </c>
      <c r="P389">
        <v>-1.859999999999928E-2</v>
      </c>
      <c r="Q389">
        <v>-0.23680474725802009</v>
      </c>
      <c r="R389">
        <v>-5.7893827450815387E-2</v>
      </c>
      <c r="S389">
        <v>0.14610913772942519</v>
      </c>
      <c r="T389">
        <v>-0.24411877606883081</v>
      </c>
      <c r="U389">
        <v>-0.30896316730775197</v>
      </c>
      <c r="V389">
        <v>-0.23988380940147641</v>
      </c>
      <c r="W389">
        <v>0</v>
      </c>
      <c r="X389">
        <v>-2.000000000000313E-2</v>
      </c>
      <c r="Y389">
        <v>-4.9999999999954534E-3</v>
      </c>
      <c r="Z389">
        <v>-2.5000000000048321E-3</v>
      </c>
    </row>
    <row r="390" spans="1:26" x14ac:dyDescent="0.2">
      <c r="A390" s="15">
        <v>45190.458333333343</v>
      </c>
      <c r="B390" t="b">
        <v>1</v>
      </c>
      <c r="G390">
        <v>1.2500000000000179E-2</v>
      </c>
      <c r="H390">
        <v>-1.049999999999951E-2</v>
      </c>
      <c r="I390">
        <v>-4.5000000000001714E-3</v>
      </c>
      <c r="J390">
        <v>-6.4999999999999503E-3</v>
      </c>
      <c r="K390">
        <v>-0.1364000000000001</v>
      </c>
      <c r="L390">
        <v>-7.5499999999999901E-2</v>
      </c>
      <c r="M390">
        <v>-0.13480000000000031</v>
      </c>
      <c r="N390">
        <v>-4.3199999999999683E-2</v>
      </c>
      <c r="O390">
        <v>-0.1278999999999986</v>
      </c>
      <c r="P390">
        <v>-2.690000000000126E-2</v>
      </c>
      <c r="Q390">
        <v>0.46790111655707278</v>
      </c>
      <c r="R390">
        <v>0.21914657055575229</v>
      </c>
      <c r="S390">
        <v>-0.35830658176795538</v>
      </c>
      <c r="T390">
        <v>0.50248716713451813</v>
      </c>
      <c r="U390">
        <v>0.63207449387800807</v>
      </c>
      <c r="V390">
        <v>0.4894400969679964</v>
      </c>
      <c r="W390">
        <v>-0.1199999999999974</v>
      </c>
      <c r="X390">
        <v>-7.4999999999995737E-2</v>
      </c>
      <c r="Y390">
        <v>-4.9999999999997158E-2</v>
      </c>
      <c r="Z390">
        <v>-3.000000000000114E-2</v>
      </c>
    </row>
    <row r="391" spans="1:26" x14ac:dyDescent="0.2">
      <c r="A391" s="15">
        <v>45232.5</v>
      </c>
      <c r="B391" t="b">
        <v>1</v>
      </c>
      <c r="G391">
        <v>-1.9000000000000131E-2</v>
      </c>
      <c r="H391">
        <v>-5.0000000000007816E-3</v>
      </c>
      <c r="I391">
        <v>-3.0000000000001141E-3</v>
      </c>
      <c r="J391">
        <v>-1.2500000000000179E-2</v>
      </c>
      <c r="K391">
        <v>-6.6000000000006054E-3</v>
      </c>
      <c r="L391">
        <v>-8.3000000000001961E-3</v>
      </c>
      <c r="M391">
        <v>-1.010000000000044E-2</v>
      </c>
      <c r="N391">
        <v>-1.440000000000019E-2</v>
      </c>
      <c r="O391">
        <v>-1.0299999999999979E-2</v>
      </c>
      <c r="P391">
        <v>-1.999999999999957E-2</v>
      </c>
      <c r="Q391">
        <v>-7.7218954080990443E-2</v>
      </c>
      <c r="R391">
        <v>-4.0141233108075269E-2</v>
      </c>
      <c r="S391">
        <v>0.20894242583946721</v>
      </c>
      <c r="T391">
        <v>-7.5736604139478914E-2</v>
      </c>
      <c r="U391">
        <v>-0.17273620805542581</v>
      </c>
      <c r="V391">
        <v>-6.6585376680109221E-2</v>
      </c>
      <c r="W391">
        <v>-5.0000000000096634E-3</v>
      </c>
      <c r="X391">
        <v>-5.000000000002558E-3</v>
      </c>
      <c r="Y391">
        <v>-4.9999999999954534E-3</v>
      </c>
      <c r="Z391">
        <v>-9.9999999999909051E-3</v>
      </c>
    </row>
    <row r="392" spans="1:26" x14ac:dyDescent="0.2">
      <c r="A392" s="15">
        <v>45232.520833333343</v>
      </c>
      <c r="B392" t="b">
        <v>0</v>
      </c>
      <c r="G392">
        <v>-1.849999999999952E-2</v>
      </c>
      <c r="H392">
        <v>-2.2000000000000242E-2</v>
      </c>
      <c r="I392">
        <v>-2.84999999999993E-2</v>
      </c>
      <c r="J392">
        <v>-1.399999999999935E-2</v>
      </c>
      <c r="K392">
        <v>6.6000000000006054E-3</v>
      </c>
      <c r="L392">
        <v>-8.9999999999967883E-4</v>
      </c>
      <c r="M392">
        <v>-7.0000000000014495E-4</v>
      </c>
      <c r="N392">
        <v>-1.3099999999999669E-2</v>
      </c>
      <c r="O392">
        <v>-1.1999999999989801E-3</v>
      </c>
      <c r="P392">
        <v>-2.139999999999986E-2</v>
      </c>
      <c r="Q392">
        <v>0.33193120473481491</v>
      </c>
      <c r="R392">
        <v>0.1203566665217988</v>
      </c>
      <c r="S392">
        <v>-4.5037502529012841E-2</v>
      </c>
      <c r="T392">
        <v>0.28552559420393209</v>
      </c>
      <c r="U392">
        <v>7.9658937606154723E-2</v>
      </c>
      <c r="V392">
        <v>0.32217137327893403</v>
      </c>
      <c r="W392">
        <v>0</v>
      </c>
      <c r="X392">
        <v>0</v>
      </c>
      <c r="Y392">
        <v>4.9999999999954534E-3</v>
      </c>
      <c r="Z392">
        <v>4.9999999999954534E-3</v>
      </c>
    </row>
    <row r="393" spans="1:26" x14ac:dyDescent="0.2">
      <c r="A393" s="15">
        <v>45274.5</v>
      </c>
      <c r="B393" t="b">
        <v>1</v>
      </c>
      <c r="G393">
        <v>4.1999999999999822E-2</v>
      </c>
      <c r="H393">
        <v>2.700000000000102E-2</v>
      </c>
      <c r="I393">
        <v>4.7499999999999432E-2</v>
      </c>
      <c r="J393">
        <v>4.0999999999999932E-2</v>
      </c>
      <c r="K393">
        <v>1.9999999999997802E-3</v>
      </c>
      <c r="L393">
        <v>-3.5000000000007252E-3</v>
      </c>
      <c r="M393">
        <v>1.900000000000013E-3</v>
      </c>
      <c r="N393">
        <v>-3.599999999999604E-3</v>
      </c>
      <c r="O393">
        <v>2.2000000000002018E-3</v>
      </c>
      <c r="P393">
        <v>1.8000000000002461E-3</v>
      </c>
      <c r="Q393">
        <v>-0.33789304089987132</v>
      </c>
      <c r="R393">
        <v>-0.32520355618505192</v>
      </c>
      <c r="S393">
        <v>0.38213917863734892</v>
      </c>
      <c r="T393">
        <v>-0.31271700544914438</v>
      </c>
      <c r="U393">
        <v>-0.18637305772119819</v>
      </c>
      <c r="V393">
        <v>-0.34016666766501658</v>
      </c>
      <c r="W393">
        <v>0</v>
      </c>
      <c r="X393">
        <v>0</v>
      </c>
      <c r="Y393">
        <v>-2.5000000000048321E-3</v>
      </c>
      <c r="Z393">
        <v>0</v>
      </c>
    </row>
    <row r="394" spans="1:26" x14ac:dyDescent="0.2">
      <c r="A394" s="15">
        <v>45323.5</v>
      </c>
      <c r="B394" t="b">
        <v>1</v>
      </c>
      <c r="G394">
        <v>3.3000000000000362E-2</v>
      </c>
      <c r="H394">
        <v>5.2499999999999318E-2</v>
      </c>
      <c r="I394">
        <v>4.8499999999998877E-2</v>
      </c>
      <c r="J394">
        <v>4.8000000000000043E-2</v>
      </c>
      <c r="K394">
        <v>8.9999999999967883E-4</v>
      </c>
      <c r="L394">
        <v>4.1700000000000507E-2</v>
      </c>
      <c r="M394">
        <v>4.6999999999997044E-3</v>
      </c>
      <c r="N394">
        <v>4.4199999999999129E-2</v>
      </c>
      <c r="O394">
        <v>7.299999999998974E-3</v>
      </c>
      <c r="P394">
        <v>4.1199999999999903E-2</v>
      </c>
      <c r="Q394">
        <v>-0.1995912294264599</v>
      </c>
      <c r="R394">
        <v>-0.25747571220300181</v>
      </c>
      <c r="S394">
        <v>0.30037080543624128</v>
      </c>
      <c r="T394">
        <v>-0.15532888631321379</v>
      </c>
      <c r="U394">
        <v>-1.269360666196917E-2</v>
      </c>
      <c r="V394">
        <v>-0.18472216324062171</v>
      </c>
      <c r="W394">
        <v>0</v>
      </c>
      <c r="X394">
        <v>2.000000000000313E-2</v>
      </c>
      <c r="Y394">
        <v>4.5000000000001712E-2</v>
      </c>
      <c r="Z394">
        <v>6.0000000000002267E-2</v>
      </c>
    </row>
    <row r="395" spans="1:26" x14ac:dyDescent="0.2">
      <c r="A395" s="15">
        <v>45323.520833333343</v>
      </c>
      <c r="B395" t="b">
        <v>0</v>
      </c>
      <c r="G395">
        <v>-4.8000000000000043E-2</v>
      </c>
      <c r="H395">
        <v>-3.5000000000007252E-3</v>
      </c>
      <c r="I395">
        <v>-4.2499999999999538E-2</v>
      </c>
      <c r="J395">
        <v>-5.0999999999999712E-2</v>
      </c>
      <c r="K395">
        <v>-1.599999999999824E-3</v>
      </c>
      <c r="L395">
        <v>-2.3100000000000339E-2</v>
      </c>
      <c r="M395">
        <v>-5.3999999999998494E-3</v>
      </c>
      <c r="N395">
        <v>-3.9799999999999613E-2</v>
      </c>
      <c r="O395">
        <v>-8.6999999999992639E-3</v>
      </c>
      <c r="P395">
        <v>-4.4000000000000483E-2</v>
      </c>
      <c r="Q395">
        <v>-0.20970550648053179</v>
      </c>
      <c r="R395">
        <v>1.7565431411993519E-2</v>
      </c>
      <c r="S395">
        <v>7.8920375409783361E-2</v>
      </c>
      <c r="T395">
        <v>-0.1906975151973711</v>
      </c>
      <c r="U395">
        <v>-0.13074391093539359</v>
      </c>
      <c r="V395">
        <v>-0.2011892935851165</v>
      </c>
      <c r="W395">
        <v>0</v>
      </c>
      <c r="X395">
        <v>-1.500000000000057E-2</v>
      </c>
      <c r="Y395">
        <v>-2.5000000000005681E-2</v>
      </c>
      <c r="Z395">
        <v>-3.5000000000003688E-2</v>
      </c>
    </row>
    <row r="396" spans="1:26" x14ac:dyDescent="0.2">
      <c r="A396" s="15">
        <v>45372.5</v>
      </c>
      <c r="B396" t="b">
        <v>1</v>
      </c>
      <c r="G396">
        <v>-1.0000000000000229E-2</v>
      </c>
      <c r="H396">
        <v>-5.9999999999993392E-3</v>
      </c>
      <c r="I396">
        <v>-3.3999999999999808E-2</v>
      </c>
      <c r="J396">
        <v>-2.2000000000000242E-2</v>
      </c>
      <c r="K396">
        <v>0</v>
      </c>
      <c r="L396">
        <v>-2.6600000000000179E-2</v>
      </c>
      <c r="M396">
        <v>-1.300000000000523E-3</v>
      </c>
      <c r="N396">
        <v>-2.93000000000001E-2</v>
      </c>
      <c r="O396">
        <v>-3.5000000000007252E-3</v>
      </c>
      <c r="P396">
        <v>-2.8699999999999729E-2</v>
      </c>
      <c r="Q396">
        <v>0.29219356484452419</v>
      </c>
      <c r="R396">
        <v>7.0097555536614564E-2</v>
      </c>
      <c r="S396">
        <v>-1.961199692282278E-2</v>
      </c>
      <c r="T396">
        <v>0.29234423005527788</v>
      </c>
      <c r="U396">
        <v>0.23063859128944841</v>
      </c>
      <c r="V396">
        <v>0.30745418307935779</v>
      </c>
      <c r="W396">
        <v>0</v>
      </c>
      <c r="X396">
        <v>-2.9999999999994031E-2</v>
      </c>
      <c r="Y396">
        <v>-3.2500000000005969E-2</v>
      </c>
      <c r="Z396">
        <v>-3.000000000000114E-2</v>
      </c>
    </row>
    <row r="397" spans="1:26" x14ac:dyDescent="0.2">
      <c r="A397" s="15">
        <v>45421.458333333343</v>
      </c>
      <c r="B397" t="b">
        <v>1</v>
      </c>
      <c r="G397">
        <v>-1.500000000000057E-2</v>
      </c>
      <c r="H397">
        <v>-1.4000000000000229E-2</v>
      </c>
      <c r="I397">
        <v>-3.2499999999999751E-2</v>
      </c>
      <c r="J397">
        <v>-2.2999999999999691E-2</v>
      </c>
      <c r="K397">
        <v>1.1599999999999611E-2</v>
      </c>
      <c r="L397">
        <v>-2.5599999999999849E-2</v>
      </c>
      <c r="M397">
        <v>5.8999999999995723E-3</v>
      </c>
      <c r="N397">
        <v>-2.8400000000000421E-2</v>
      </c>
      <c r="O397">
        <v>-9.9999999999944578E-4</v>
      </c>
      <c r="P397">
        <v>-2.610000000000046E-2</v>
      </c>
      <c r="Q397">
        <v>0.2802124294701116</v>
      </c>
      <c r="R397">
        <v>0.20338675744052989</v>
      </c>
      <c r="S397">
        <v>-0.24448156252011441</v>
      </c>
      <c r="T397">
        <v>0.26660884708132931</v>
      </c>
      <c r="U397">
        <v>0.31743611094634622</v>
      </c>
      <c r="V397">
        <v>0.26189389343949188</v>
      </c>
      <c r="W397">
        <v>5.0000000000096634E-3</v>
      </c>
      <c r="X397">
        <v>-1.500000000000057E-2</v>
      </c>
      <c r="Y397">
        <v>-3.2499999999998863E-2</v>
      </c>
      <c r="Z397">
        <v>-3.5000000000003688E-2</v>
      </c>
    </row>
    <row r="398" spans="1:26" x14ac:dyDescent="0.2">
      <c r="A398" s="15">
        <v>45421.479166666657</v>
      </c>
      <c r="B398" t="b">
        <v>0</v>
      </c>
      <c r="G398">
        <v>-7.9999999999991189E-3</v>
      </c>
      <c r="H398">
        <v>-8.0000000000000071E-3</v>
      </c>
      <c r="I398">
        <v>-2.1500000000000519E-2</v>
      </c>
      <c r="J398">
        <v>-1.5000000000000119E-2</v>
      </c>
      <c r="K398">
        <v>0</v>
      </c>
      <c r="L398">
        <v>-8.1000000000006622E-3</v>
      </c>
      <c r="M398">
        <v>-1.7999999999993581E-3</v>
      </c>
      <c r="N398">
        <v>-1.790000000000003E-2</v>
      </c>
      <c r="O398">
        <v>-3.0000000000001141E-3</v>
      </c>
      <c r="P398">
        <v>-1.010000000000044E-2</v>
      </c>
      <c r="Q398">
        <v>-0.11906535127548069</v>
      </c>
      <c r="R398">
        <v>-0.1742464378797344</v>
      </c>
      <c r="S398">
        <v>0.41258590389141148</v>
      </c>
      <c r="T398">
        <v>-7.6316797346180465E-2</v>
      </c>
      <c r="U398">
        <v>0.11935237670729749</v>
      </c>
      <c r="V398">
        <v>-0.10937011899011399</v>
      </c>
      <c r="W398">
        <v>0</v>
      </c>
      <c r="X398">
        <v>-9.9999999999980105E-3</v>
      </c>
      <c r="Y398">
        <v>-9.9999999999980105E-3</v>
      </c>
      <c r="Z398">
        <v>-1.500000000000057E-2</v>
      </c>
    </row>
    <row r="399" spans="1:26" x14ac:dyDescent="0.2">
      <c r="A399" s="15">
        <v>45463.458333333343</v>
      </c>
      <c r="B399" t="b">
        <v>1</v>
      </c>
      <c r="G399">
        <v>-4.3000000000000149E-2</v>
      </c>
      <c r="H399">
        <v>-4.9999999999999822E-2</v>
      </c>
      <c r="I399">
        <v>-5.6000000000000938E-2</v>
      </c>
      <c r="J399">
        <v>-4.9999999999999822E-2</v>
      </c>
      <c r="K399">
        <v>3.6000000000004921E-3</v>
      </c>
      <c r="L399">
        <v>-5.1999999999999602E-2</v>
      </c>
      <c r="M399">
        <v>-1.069999999999993E-2</v>
      </c>
      <c r="N399">
        <v>-5.9800000000000957E-2</v>
      </c>
      <c r="O399">
        <v>-2.3100000000001231E-2</v>
      </c>
      <c r="P399">
        <v>-6.0399999999999572E-2</v>
      </c>
      <c r="Q399">
        <v>0.27048002568653828</v>
      </c>
      <c r="R399">
        <v>0.13017893596827079</v>
      </c>
      <c r="S399">
        <v>-0.13388464627805871</v>
      </c>
      <c r="T399">
        <v>0.25153936092920048</v>
      </c>
      <c r="U399">
        <v>0.218887625970865</v>
      </c>
      <c r="V399">
        <v>0.25983183312496289</v>
      </c>
      <c r="W399">
        <v>-2.4999999999998579E-2</v>
      </c>
      <c r="X399">
        <v>-4.9999999999997158E-2</v>
      </c>
      <c r="Y399">
        <v>-6.4999999999997726E-2</v>
      </c>
      <c r="Z399">
        <v>-6.4999999999997726E-2</v>
      </c>
    </row>
    <row r="400" spans="1:26" x14ac:dyDescent="0.2">
      <c r="A400" s="15">
        <v>45505.458333333343</v>
      </c>
      <c r="B400" t="b">
        <v>1</v>
      </c>
      <c r="G400">
        <v>2.0000000000002238E-3</v>
      </c>
      <c r="H400">
        <v>-2.5000000000003908E-3</v>
      </c>
      <c r="I400">
        <v>-4.0000000000000044E-3</v>
      </c>
      <c r="J400">
        <v>-4.5000000000001714E-3</v>
      </c>
      <c r="K400">
        <v>-1.430000000000042E-2</v>
      </c>
      <c r="L400">
        <v>-6.530000000000058E-2</v>
      </c>
      <c r="M400">
        <v>-9.0400000000000702E-2</v>
      </c>
      <c r="N400">
        <v>-4.5899999999999608E-2</v>
      </c>
      <c r="O400">
        <v>-8.0000000000000071E-2</v>
      </c>
      <c r="P400">
        <v>-3.3899999999999597E-2</v>
      </c>
      <c r="Q400">
        <v>0.21177272292663929</v>
      </c>
      <c r="R400">
        <v>0.13025460738662531</v>
      </c>
      <c r="S400">
        <v>-7.8263188022610564E-2</v>
      </c>
      <c r="T400">
        <v>0.28428218351893969</v>
      </c>
      <c r="U400">
        <v>0.73997542488632462</v>
      </c>
      <c r="V400">
        <v>0.2247563450875987</v>
      </c>
      <c r="W400">
        <v>-5.2500000000009088E-2</v>
      </c>
      <c r="X400">
        <v>-6.25E-2</v>
      </c>
      <c r="Y400">
        <v>-6.4999999999997726E-2</v>
      </c>
      <c r="Z400">
        <v>-5.7499999999997442E-2</v>
      </c>
    </row>
    <row r="401" spans="1:26" x14ac:dyDescent="0.2">
      <c r="A401" s="15">
        <v>45505.479166666657</v>
      </c>
      <c r="B401" t="b">
        <v>0</v>
      </c>
      <c r="G401">
        <v>-2.7000000000000138E-2</v>
      </c>
      <c r="H401">
        <v>-3.8500000000000867E-2</v>
      </c>
      <c r="I401">
        <v>-4.0499999999999758E-2</v>
      </c>
      <c r="J401">
        <v>-3.8000000000000263E-2</v>
      </c>
      <c r="K401">
        <v>-8.9999999999999858E-2</v>
      </c>
      <c r="L401">
        <v>-2.7499999999999861E-2</v>
      </c>
      <c r="M401">
        <v>-2.2000000000002018E-3</v>
      </c>
      <c r="N401">
        <v>-3.7200000000000337E-2</v>
      </c>
      <c r="O401">
        <v>-5.3999999999998494E-3</v>
      </c>
      <c r="P401">
        <v>-3.0999999999999691E-2</v>
      </c>
      <c r="Q401">
        <v>-0.28038795501311142</v>
      </c>
      <c r="R401">
        <v>-0.31982969805962819</v>
      </c>
      <c r="S401">
        <v>0.35576768648282098</v>
      </c>
      <c r="T401">
        <v>-0.23198635026005829</v>
      </c>
      <c r="U401">
        <v>4.6718984776362049E-2</v>
      </c>
      <c r="V401">
        <v>-0.28465718054303579</v>
      </c>
      <c r="W401">
        <v>1.2499999999988629E-3</v>
      </c>
      <c r="X401">
        <v>-1.500000000000057E-2</v>
      </c>
      <c r="Y401">
        <v>-3.000000000000114E-2</v>
      </c>
      <c r="Z401">
        <v>-3.9999999999999147E-2</v>
      </c>
    </row>
    <row r="402" spans="1:26" x14ac:dyDescent="0.2">
      <c r="A402" s="15">
        <v>45554.458333333343</v>
      </c>
      <c r="B402" t="b">
        <v>1</v>
      </c>
      <c r="G402">
        <v>3.8999999999999702E-2</v>
      </c>
      <c r="H402">
        <v>5.2500000000000213E-2</v>
      </c>
      <c r="I402">
        <v>5.0999999999999712E-2</v>
      </c>
      <c r="J402">
        <v>4.3999999999999588E-2</v>
      </c>
      <c r="K402">
        <v>7.0000000000014495E-4</v>
      </c>
      <c r="L402">
        <v>7.7999999999999403E-2</v>
      </c>
      <c r="M402">
        <v>3.5699999999999399E-2</v>
      </c>
      <c r="N402">
        <v>6.449999999999978E-2</v>
      </c>
      <c r="O402">
        <v>3.9099999999999469E-2</v>
      </c>
      <c r="P402">
        <v>5.7199999999999918E-2</v>
      </c>
      <c r="Q402">
        <v>-0.39517460077684058</v>
      </c>
      <c r="R402">
        <v>-0.27358171080075522</v>
      </c>
      <c r="S402">
        <v>0.13175997762365549</v>
      </c>
      <c r="T402">
        <v>-0.34733480378292819</v>
      </c>
      <c r="U402">
        <v>-0.19364477745773459</v>
      </c>
      <c r="V402">
        <v>-0.37442819540626721</v>
      </c>
      <c r="W402">
        <v>3.5000000000003688E-2</v>
      </c>
      <c r="X402">
        <v>8.9999999999996305E-2</v>
      </c>
      <c r="Y402">
        <v>9.9999999999994316E-2</v>
      </c>
      <c r="Z402">
        <v>8.5000000000007958E-2</v>
      </c>
    </row>
    <row r="403" spans="1:26" x14ac:dyDescent="0.2">
      <c r="A403" s="15">
        <v>45603.5</v>
      </c>
      <c r="B403" t="b">
        <v>1</v>
      </c>
      <c r="G403">
        <v>0</v>
      </c>
      <c r="H403">
        <v>5.4999999999996163E-3</v>
      </c>
      <c r="I403">
        <v>1.049999999999951E-2</v>
      </c>
      <c r="J403">
        <v>9.5000000000000639E-3</v>
      </c>
      <c r="K403">
        <v>0</v>
      </c>
      <c r="L403">
        <v>2.2999999999999691E-2</v>
      </c>
      <c r="M403">
        <v>3.0000000000001141E-3</v>
      </c>
      <c r="N403">
        <v>1.5400000000000519E-2</v>
      </c>
      <c r="O403">
        <v>8.49999999999973E-3</v>
      </c>
      <c r="P403">
        <v>8.3999999999999631E-3</v>
      </c>
      <c r="Q403">
        <v>-0.1037851131976595</v>
      </c>
      <c r="R403">
        <v>-0.19809840250752939</v>
      </c>
      <c r="S403">
        <v>0.26312749810622899</v>
      </c>
      <c r="T403">
        <v>-8.2241361729870732E-2</v>
      </c>
      <c r="U403">
        <v>4.5260187292228693E-2</v>
      </c>
      <c r="V403">
        <v>-0.1010500099764613</v>
      </c>
      <c r="W403">
        <v>-2.5000000000048321E-3</v>
      </c>
      <c r="X403">
        <v>3.000000000000114E-2</v>
      </c>
      <c r="Y403">
        <v>3.4999999999996589E-2</v>
      </c>
      <c r="Z403">
        <v>4.0000000000006253E-2</v>
      </c>
    </row>
    <row r="404" spans="1:26" x14ac:dyDescent="0.2">
      <c r="A404" s="15">
        <v>45603.520833333343</v>
      </c>
      <c r="B404" t="b">
        <v>0</v>
      </c>
      <c r="G404">
        <v>3.9999999999995586E-3</v>
      </c>
      <c r="H404">
        <v>1.7500000000000959E-2</v>
      </c>
      <c r="I404">
        <v>6.5000000000008376E-3</v>
      </c>
      <c r="J404">
        <v>4.9999999999990052E-3</v>
      </c>
      <c r="K404">
        <v>0</v>
      </c>
      <c r="L404">
        <v>-1.6000000000000011E-2</v>
      </c>
      <c r="M404">
        <v>1.300000000000523E-3</v>
      </c>
      <c r="N404">
        <v>-2.700000000000102E-2</v>
      </c>
      <c r="O404">
        <v>3.0000000000001141E-3</v>
      </c>
      <c r="P404">
        <v>-3.2099999999999802E-2</v>
      </c>
      <c r="Q404">
        <v>4.5820275463142927E-2</v>
      </c>
      <c r="R404">
        <v>-3.6057692828588728E-2</v>
      </c>
      <c r="S404">
        <v>0.24711392313802349</v>
      </c>
      <c r="T404">
        <v>5.5376759543264598E-2</v>
      </c>
      <c r="U404">
        <v>0.11512886716502629</v>
      </c>
      <c r="V404">
        <v>4.302179776129833E-2</v>
      </c>
      <c r="W404">
        <v>0</v>
      </c>
      <c r="X404">
        <v>0</v>
      </c>
      <c r="Y404">
        <v>-5.000000000002558E-3</v>
      </c>
      <c r="Z404">
        <v>2.4999999999977258E-3</v>
      </c>
    </row>
    <row r="405" spans="1:26" x14ac:dyDescent="0.2">
      <c r="A405" s="15">
        <v>45645.5</v>
      </c>
      <c r="B405" t="b">
        <v>1</v>
      </c>
      <c r="G405">
        <v>-1.849999999999952E-2</v>
      </c>
      <c r="H405">
        <v>-2.2999999999999691E-2</v>
      </c>
      <c r="I405">
        <v>-2.9499999999999641E-2</v>
      </c>
      <c r="J405">
        <v>-2.7000000000000138E-2</v>
      </c>
      <c r="K405">
        <v>-3.0000000000001141E-3</v>
      </c>
      <c r="L405">
        <v>-2.89999999999857E-3</v>
      </c>
      <c r="M405">
        <v>-6.0000000000037801E-4</v>
      </c>
      <c r="N405">
        <v>-7.8000000000013614E-3</v>
      </c>
      <c r="O405">
        <v>-1.200000000000756E-3</v>
      </c>
      <c r="P405">
        <v>-1.1800000000000921E-2</v>
      </c>
      <c r="Q405">
        <v>0.35822408896774499</v>
      </c>
      <c r="R405">
        <v>0.24252727389020731</v>
      </c>
      <c r="S405">
        <v>-0.27345915174283059</v>
      </c>
      <c r="T405">
        <v>0.30267126336650563</v>
      </c>
      <c r="U405">
        <v>0.21514521023027561</v>
      </c>
      <c r="V405">
        <v>0.31792366232787123</v>
      </c>
      <c r="W405">
        <v>-2.000000000000313E-2</v>
      </c>
      <c r="X405">
        <v>-4.0000000000006253E-2</v>
      </c>
      <c r="Y405">
        <v>-5.4999999999999723E-2</v>
      </c>
      <c r="Z405">
        <v>-5.4999999999999723E-2</v>
      </c>
    </row>
    <row r="406" spans="1:26" x14ac:dyDescent="0.2">
      <c r="A406" s="15">
        <v>45694.5</v>
      </c>
      <c r="B406" t="b">
        <v>1</v>
      </c>
      <c r="G406">
        <v>2.9999999999992259E-3</v>
      </c>
      <c r="H406">
        <v>-2.5999999999999801E-2</v>
      </c>
      <c r="I406">
        <v>-2.249999999999908E-2</v>
      </c>
      <c r="J406">
        <v>-9.9999999999997868E-3</v>
      </c>
      <c r="K406">
        <v>-4.9999999999990052E-3</v>
      </c>
      <c r="L406">
        <v>-7.660000000000089E-2</v>
      </c>
      <c r="M406">
        <v>-1.6600000000000389E-2</v>
      </c>
      <c r="N406">
        <v>-7.3999999999999844E-2</v>
      </c>
      <c r="O406">
        <v>-2.6399999999998869E-2</v>
      </c>
      <c r="P406">
        <v>-6.3800000000000079E-2</v>
      </c>
      <c r="Q406">
        <v>0.41008920916976882</v>
      </c>
      <c r="R406">
        <v>0.29322673521451043</v>
      </c>
      <c r="S406">
        <v>-0.33065620463125361</v>
      </c>
      <c r="T406">
        <v>0.40131238994536028</v>
      </c>
      <c r="U406">
        <v>0.32794031849778088</v>
      </c>
      <c r="V406">
        <v>0.41838647831832532</v>
      </c>
      <c r="W406">
        <v>0</v>
      </c>
      <c r="X406">
        <v>-5.4999999999999723E-2</v>
      </c>
      <c r="Y406">
        <v>-7.9999999999998295E-2</v>
      </c>
      <c r="Z406">
        <v>-7.5000000000002842E-2</v>
      </c>
    </row>
    <row r="407" spans="1:26" x14ac:dyDescent="0.2">
      <c r="A407" s="15">
        <v>45694.520833333343</v>
      </c>
      <c r="B407" t="b">
        <v>0</v>
      </c>
      <c r="G407">
        <v>2.2999999999999691E-2</v>
      </c>
      <c r="H407">
        <v>-5.400000000000027E-2</v>
      </c>
      <c r="I407">
        <v>-1.9999999999997802E-3</v>
      </c>
      <c r="J407">
        <v>2.3500000000000298E-2</v>
      </c>
      <c r="K407">
        <v>-3.0000000000001141E-3</v>
      </c>
      <c r="L407">
        <v>2.8900000000000151E-2</v>
      </c>
      <c r="M407">
        <v>7.9000000000011283E-3</v>
      </c>
      <c r="N407">
        <v>3.9100000000000357E-2</v>
      </c>
      <c r="O407">
        <v>1.049999999999862E-2</v>
      </c>
      <c r="P407">
        <v>4.2100000000000033E-2</v>
      </c>
      <c r="Q407">
        <v>3.1499999023026248E-2</v>
      </c>
      <c r="R407">
        <v>5.9805035655280392E-3</v>
      </c>
      <c r="S407">
        <v>6.0544911535195922E-2</v>
      </c>
      <c r="T407">
        <v>8.4207867168970552E-3</v>
      </c>
      <c r="U407">
        <v>-0.31039505649357579</v>
      </c>
      <c r="V407">
        <v>4.6387171465767103E-2</v>
      </c>
      <c r="W407">
        <v>2.5000000000048321E-3</v>
      </c>
      <c r="X407">
        <v>2.5000000000005681E-2</v>
      </c>
      <c r="Y407">
        <v>1.500000000000057E-2</v>
      </c>
      <c r="Z407">
        <v>2.2500000000000849E-2</v>
      </c>
    </row>
    <row r="408" spans="1:26" x14ac:dyDescent="0.2">
      <c r="A408" s="15">
        <v>45736.5</v>
      </c>
      <c r="B408" t="b">
        <v>1</v>
      </c>
      <c r="G408">
        <v>1.899999999999924E-2</v>
      </c>
      <c r="H408">
        <v>1.7999999999998909E-2</v>
      </c>
      <c r="I408">
        <v>1.9500000000000739E-2</v>
      </c>
      <c r="J408">
        <v>2.04999999999993E-2</v>
      </c>
      <c r="K408">
        <v>-4.7999999999994714E-3</v>
      </c>
      <c r="L408">
        <v>2.430000000000021E-2</v>
      </c>
      <c r="M408">
        <v>6.2999999999995282E-3</v>
      </c>
      <c r="N408">
        <v>2.5800000000000271E-2</v>
      </c>
      <c r="O408">
        <v>1.07999999999997E-2</v>
      </c>
      <c r="P408">
        <v>2.3599999999999181E-2</v>
      </c>
      <c r="Q408">
        <v>-0.22719133309726661</v>
      </c>
      <c r="R408">
        <v>-2.3903431621818069E-2</v>
      </c>
      <c r="S408">
        <v>2.7000369648071398E-2</v>
      </c>
      <c r="T408">
        <v>-0.21264137046011911</v>
      </c>
      <c r="U408">
        <v>-0.14631490667443359</v>
      </c>
      <c r="V408">
        <v>-0.22145651449795881</v>
      </c>
      <c r="W408">
        <v>1.0000000000005119E-2</v>
      </c>
      <c r="X408">
        <v>2.4999999999998579E-2</v>
      </c>
      <c r="Y408">
        <v>2.4999999999998579E-2</v>
      </c>
      <c r="Z408">
        <v>3.000000000000114E-2</v>
      </c>
    </row>
    <row r="409" spans="1:26" x14ac:dyDescent="0.2">
      <c r="A409" s="15">
        <v>45785.458333333343</v>
      </c>
      <c r="B409" t="b">
        <v>1</v>
      </c>
      <c r="G409">
        <v>5.600000000000005E-2</v>
      </c>
      <c r="H409">
        <v>7.3499999999999677E-2</v>
      </c>
      <c r="I409">
        <v>7.6999999999999957E-2</v>
      </c>
      <c r="J409">
        <v>7.1500000000000341E-2</v>
      </c>
      <c r="K409">
        <v>1.0999999999999229E-2</v>
      </c>
      <c r="L409">
        <v>0.1048999999999998</v>
      </c>
      <c r="M409">
        <v>3.3899999999999153E-2</v>
      </c>
      <c r="N409">
        <v>9.1600000000000126E-2</v>
      </c>
      <c r="O409">
        <v>5.0499999999999552E-2</v>
      </c>
      <c r="P409">
        <v>8.0100000000000282E-2</v>
      </c>
      <c r="Q409">
        <v>-1.163839508831188E-2</v>
      </c>
      <c r="R409">
        <v>-0.20025784163488319</v>
      </c>
      <c r="S409">
        <v>0.21790256055216869</v>
      </c>
      <c r="T409">
        <v>-7.5111728731371841E-3</v>
      </c>
      <c r="U409">
        <v>6.2859557633714758E-2</v>
      </c>
      <c r="V409">
        <v>-1.652807914888399E-2</v>
      </c>
      <c r="W409">
        <v>5.0000000000096634E-3</v>
      </c>
      <c r="X409">
        <v>0.10000000000000139</v>
      </c>
      <c r="Y409">
        <v>0.125</v>
      </c>
      <c r="Z409">
        <v>0.115000000000002</v>
      </c>
    </row>
    <row r="410" spans="1:26" x14ac:dyDescent="0.2">
      <c r="A410" s="15">
        <v>45785.479166666657</v>
      </c>
      <c r="B410" t="b">
        <v>0</v>
      </c>
      <c r="G410">
        <v>-1.500000000000057E-2</v>
      </c>
      <c r="H410">
        <v>-5.9999999999993392E-3</v>
      </c>
      <c r="I410">
        <v>-1.550000000000029E-2</v>
      </c>
      <c r="J410">
        <v>-3.0999999999999691E-2</v>
      </c>
      <c r="K410">
        <v>-7.9999999999991189E-4</v>
      </c>
      <c r="L410">
        <v>-1.1299999999999869E-2</v>
      </c>
      <c r="M410">
        <v>3.399999999999181E-3</v>
      </c>
      <c r="N410">
        <v>-1.9299999999999869E-2</v>
      </c>
      <c r="O410">
        <v>5.2000000000003146E-3</v>
      </c>
      <c r="P410">
        <v>-2.3000000000000131E-2</v>
      </c>
      <c r="Q410">
        <v>-0.22145821819185579</v>
      </c>
      <c r="R410">
        <v>5.3052485342721667E-2</v>
      </c>
      <c r="S410">
        <v>0.1012960142864969</v>
      </c>
      <c r="T410">
        <v>-0.2420200170696489</v>
      </c>
      <c r="U410">
        <v>-0.22695572764177999</v>
      </c>
      <c r="V410">
        <v>-0.24679928473142351</v>
      </c>
      <c r="W410">
        <v>0</v>
      </c>
      <c r="X410">
        <v>0</v>
      </c>
      <c r="Y410">
        <v>-1.0000000000005119E-2</v>
      </c>
      <c r="Z410">
        <v>-2.000000000000313E-2</v>
      </c>
    </row>
    <row r="411" spans="1:26" x14ac:dyDescent="0.2">
      <c r="A411" s="15">
        <v>45827.458333333343</v>
      </c>
      <c r="B411" t="b">
        <v>1</v>
      </c>
      <c r="G411">
        <v>-1.149999999999984E-2</v>
      </c>
      <c r="H411">
        <v>-1.9499999999999851E-2</v>
      </c>
      <c r="I411">
        <v>-1.799999999999979E-2</v>
      </c>
      <c r="J411">
        <v>-1.54999999999994E-2</v>
      </c>
      <c r="K411">
        <v>1.000000000000156E-2</v>
      </c>
      <c r="L411">
        <v>-2.1100000000000119E-2</v>
      </c>
      <c r="M411">
        <v>4.1000000000002146E-3</v>
      </c>
      <c r="N411">
        <v>-1.6500000000000181E-2</v>
      </c>
      <c r="O411">
        <v>-2.3999999999997361E-3</v>
      </c>
      <c r="P411">
        <v>-1.3500000000000069E-2</v>
      </c>
      <c r="Q411">
        <v>-0.13603901926330761</v>
      </c>
      <c r="R411">
        <v>0.12870768292176041</v>
      </c>
      <c r="S411">
        <v>-4.0951567755890039E-2</v>
      </c>
      <c r="T411">
        <v>-0.13434782222100239</v>
      </c>
      <c r="U411">
        <v>-0.1649842433768072</v>
      </c>
      <c r="V411">
        <v>-0.1306149290778649</v>
      </c>
      <c r="W411">
        <v>0</v>
      </c>
      <c r="X411">
        <v>-2.5000000000005681E-2</v>
      </c>
      <c r="Y411">
        <v>-2.4999999999998579E-2</v>
      </c>
      <c r="Z411">
        <v>-2.4999999999998579E-2</v>
      </c>
    </row>
    <row r="412" spans="1:26" x14ac:dyDescent="0.2">
      <c r="A412" s="15">
        <v>45876.458333333343</v>
      </c>
      <c r="B412" t="b">
        <v>1</v>
      </c>
      <c r="G412">
        <v>2.7999999999999581E-2</v>
      </c>
      <c r="H412">
        <v>2.4999999999999911E-2</v>
      </c>
      <c r="I412">
        <v>3.3500000000000092E-2</v>
      </c>
      <c r="J412">
        <v>3.4500000000000419E-2</v>
      </c>
      <c r="K412">
        <v>-1.1000000000000121E-2</v>
      </c>
      <c r="L412">
        <v>4.9400000000000333E-2</v>
      </c>
      <c r="M412">
        <v>-1.0999999999992129E-3</v>
      </c>
      <c r="N412">
        <v>4.4700000000000177E-2</v>
      </c>
      <c r="O412">
        <v>4.9999999999998934E-3</v>
      </c>
      <c r="P412">
        <v>3.9500000000000313E-2</v>
      </c>
      <c r="Q412">
        <v>-0.28522865125592028</v>
      </c>
      <c r="R412">
        <v>-0.41916895990928182</v>
      </c>
      <c r="S412">
        <v>0.32110032152914059</v>
      </c>
      <c r="T412">
        <v>-0.24841117627261161</v>
      </c>
      <c r="U412">
        <v>-0.20408593264176031</v>
      </c>
      <c r="V412">
        <v>-0.25610962405085053</v>
      </c>
      <c r="W412">
        <v>-2.4999999999977258E-3</v>
      </c>
      <c r="X412">
        <v>3.4999999999996589E-2</v>
      </c>
      <c r="Y412">
        <v>6.5000000000004832E-2</v>
      </c>
      <c r="Z412">
        <v>6.25E-2</v>
      </c>
    </row>
    <row r="413" spans="1:26" x14ac:dyDescent="0.2">
      <c r="A413" s="15">
        <v>45876.479166666657</v>
      </c>
      <c r="B413" t="b">
        <v>0</v>
      </c>
      <c r="G413">
        <v>-7.5000000000002842E-3</v>
      </c>
      <c r="H413">
        <v>-8.999999999999897E-3</v>
      </c>
      <c r="I413">
        <v>-1.000000000000334E-3</v>
      </c>
      <c r="J413">
        <v>-3.499999999998948E-3</v>
      </c>
      <c r="K413">
        <v>0</v>
      </c>
      <c r="L413">
        <v>-1.069999999999993E-2</v>
      </c>
      <c r="M413">
        <v>-3.499999999999837E-3</v>
      </c>
      <c r="N413">
        <v>-8.6000000000003851E-3</v>
      </c>
      <c r="O413">
        <v>-6.8999999999999062E-3</v>
      </c>
      <c r="P413">
        <v>-8.299999999999752E-3</v>
      </c>
      <c r="Q413">
        <v>4.3968123951799498E-2</v>
      </c>
      <c r="R413">
        <v>5.7567209780948758E-3</v>
      </c>
      <c r="S413">
        <v>-1.489924391160358E-2</v>
      </c>
      <c r="T413">
        <v>5.8122404987329901E-2</v>
      </c>
      <c r="U413">
        <v>0.14087379629393129</v>
      </c>
      <c r="V413">
        <v>5.8607979729799808E-2</v>
      </c>
      <c r="W413">
        <v>0</v>
      </c>
      <c r="X413">
        <v>-9.9999999999980105E-3</v>
      </c>
      <c r="Y413">
        <v>-1.500000000000057E-2</v>
      </c>
      <c r="Z413">
        <v>-1.0000000000005119E-2</v>
      </c>
    </row>
    <row r="414" spans="1:26" x14ac:dyDescent="0.2">
      <c r="A414" s="15">
        <v>45918.458333333343</v>
      </c>
      <c r="B414" t="b">
        <v>1</v>
      </c>
      <c r="G414">
        <v>-2.349999999999941E-2</v>
      </c>
      <c r="H414">
        <v>-3.2500000000000202E-2</v>
      </c>
      <c r="I414">
        <v>-3.0999999999999691E-2</v>
      </c>
      <c r="J414">
        <v>-3.1500000000000312E-2</v>
      </c>
      <c r="K414">
        <v>-2.9500000000002302E-3</v>
      </c>
      <c r="L414">
        <v>-2.974999999999994E-2</v>
      </c>
      <c r="M414">
        <v>-2.4500000000000628E-3</v>
      </c>
      <c r="N414">
        <v>-3.7100000000000577E-2</v>
      </c>
      <c r="O414">
        <v>-5.4499999999997328E-3</v>
      </c>
      <c r="P414">
        <v>-3.7500000000000533E-2</v>
      </c>
      <c r="Q414">
        <v>0.1245701142347571</v>
      </c>
      <c r="R414">
        <v>0.1210105797995205</v>
      </c>
      <c r="S414">
        <v>-0.16500404403450369</v>
      </c>
      <c r="T414">
        <v>0.1167268953745406</v>
      </c>
      <c r="U414">
        <v>8.1975909760444665E-2</v>
      </c>
      <c r="V414">
        <v>0.1229837193476442</v>
      </c>
      <c r="W414">
        <v>-4.9999999999954534E-3</v>
      </c>
      <c r="X414">
        <v>-2.5000000000005681E-2</v>
      </c>
      <c r="Y414">
        <v>-3.9999999999999147E-2</v>
      </c>
      <c r="Z414">
        <v>-3.9999999999999147E-2</v>
      </c>
    </row>
    <row r="415" spans="1:26" x14ac:dyDescent="0.2">
      <c r="A415" s="15">
        <v>45967.5</v>
      </c>
      <c r="B415" t="b">
        <v>1</v>
      </c>
      <c r="G415">
        <v>-1.699999999999946E-2</v>
      </c>
      <c r="H415">
        <v>-1.8499999999999961E-2</v>
      </c>
      <c r="I415">
        <v>-2.3500000000000298E-2</v>
      </c>
      <c r="J415">
        <v>-2.0500000000000181E-2</v>
      </c>
      <c r="K415">
        <v>6.0000000000000053E-2</v>
      </c>
      <c r="L415">
        <v>-1.5700000000000269E-2</v>
      </c>
      <c r="M415">
        <v>4.6799999999999731E-2</v>
      </c>
      <c r="N415">
        <v>-2.584999999999971E-2</v>
      </c>
      <c r="O415">
        <v>3.2549999999999628E-2</v>
      </c>
      <c r="P415">
        <v>-2.7499999999999861E-2</v>
      </c>
      <c r="Q415">
        <v>0.13291076523569251</v>
      </c>
      <c r="R415">
        <v>0.15332491853891381</v>
      </c>
      <c r="S415">
        <v>-0.13374927194150391</v>
      </c>
      <c r="T415">
        <v>0.11797951950302379</v>
      </c>
      <c r="U415">
        <v>0.1406289893950543</v>
      </c>
      <c r="V415">
        <v>0.12025547276243739</v>
      </c>
      <c r="W415">
        <v>3.000000000000114E-2</v>
      </c>
      <c r="X415">
        <v>-4.9999999999954534E-3</v>
      </c>
      <c r="Y415">
        <v>-2.9999999999994031E-2</v>
      </c>
      <c r="Z415">
        <v>-3.5000000000003688E-2</v>
      </c>
    </row>
    <row r="416" spans="1:26" x14ac:dyDescent="0.2">
      <c r="A416" s="15">
        <v>45967.520833333343</v>
      </c>
      <c r="B416" t="b">
        <v>0</v>
      </c>
      <c r="G416">
        <v>-3.9999999999995586E-3</v>
      </c>
      <c r="H416">
        <v>-6.0000000000002274E-3</v>
      </c>
      <c r="I416">
        <v>-8.0000000000000071E-3</v>
      </c>
      <c r="J416">
        <v>-1.199999999999957E-2</v>
      </c>
      <c r="K416">
        <v>2.1499999999998738E-3</v>
      </c>
      <c r="L416">
        <v>8.5499999999996135E-3</v>
      </c>
      <c r="M416">
        <v>-2.7999999999996921E-3</v>
      </c>
      <c r="N416">
        <v>2.8499999999995751E-3</v>
      </c>
      <c r="O416">
        <v>-4.750000000000032E-3</v>
      </c>
      <c r="P416">
        <v>9.0000000000056701E-4</v>
      </c>
      <c r="Q416">
        <v>-2.8080305261028119E-2</v>
      </c>
      <c r="R416">
        <v>-0.1589580561392516</v>
      </c>
      <c r="S416">
        <v>0.30168188837340182</v>
      </c>
      <c r="T416">
        <v>-4.2573654013722262E-2</v>
      </c>
      <c r="U416">
        <v>-0.28719610313169142</v>
      </c>
      <c r="V416">
        <v>-9.624313891094971E-3</v>
      </c>
      <c r="W416">
        <v>0</v>
      </c>
      <c r="X416">
        <v>9.9999999999980105E-3</v>
      </c>
      <c r="Y416">
        <v>1.499999999999346E-2</v>
      </c>
      <c r="Z416">
        <v>7.5000000000002842E-3</v>
      </c>
    </row>
    <row r="418" spans="1:26" x14ac:dyDescent="0.2">
      <c r="A418" t="s">
        <v>111</v>
      </c>
      <c r="C418">
        <f>CORREL(C2:C416,factors!$C$2:$C$416)</f>
        <v>0.99658810804076792</v>
      </c>
      <c r="D418">
        <f>CORREL(D2:D416,factors!$C$2:$C$416)</f>
        <v>0.92811998657368167</v>
      </c>
      <c r="E418">
        <f>CORREL(E2:E416,factors!$C$2:$C$416)</f>
        <v>0.84537720607316624</v>
      </c>
      <c r="F418">
        <f>CORREL(F2:F416,factors!$C$2:$C$416)</f>
        <v>0.75172797686683568</v>
      </c>
      <c r="G418">
        <f>CORREL(G2:G416,factors!$C$2:$C$416)</f>
        <v>0.35918106663843474</v>
      </c>
      <c r="H418">
        <f>CORREL(H2:H416,factors!$C$2:$C$416)</f>
        <v>0.70250592442339665</v>
      </c>
      <c r="I418">
        <f>CORREL(I2:I416,factors!$C$2:$C$416)</f>
        <v>0.64931691218954024</v>
      </c>
      <c r="J418">
        <f>CORREL(J2:J416,factors!$C$2:$C$416)</f>
        <v>0.53670198873675479</v>
      </c>
      <c r="K418">
        <f>CORREL(K2:K416,factors!$C$2:$C$416)</f>
        <v>0.52088126964964621</v>
      </c>
      <c r="L418">
        <f>CORREL(L2:L416,factors!$C$2:$C$416)</f>
        <v>0.65078604248680205</v>
      </c>
      <c r="M418">
        <f>CORREL(M2:M416,factors!$C$2:$C$416)</f>
        <v>0.89443231498174836</v>
      </c>
      <c r="N418">
        <f>CORREL(N2:N416,factors!$C$2:$C$416)</f>
        <v>0.48166649031183495</v>
      </c>
      <c r="O418">
        <f>CORREL(O2:O416,factors!$C$2:$C$416)</f>
        <v>0.90060857096184244</v>
      </c>
      <c r="P418">
        <f>CORREL(P2:P416,factors!$C$2:$C$416)</f>
        <v>0.26321460237960198</v>
      </c>
      <c r="Q418">
        <f>CORREL(Q2:Q416,factors!$C$2:$C$416)</f>
        <v>-0.37700934010593007</v>
      </c>
      <c r="R418">
        <f>CORREL(R2:R416,factors!$C$2:$C$416)</f>
        <v>-0.28043496461085587</v>
      </c>
      <c r="S418">
        <f>CORREL(S2:S416,factors!$C$2:$C$416)</f>
        <v>0.33104902935070757</v>
      </c>
      <c r="T418">
        <f>CORREL(T2:T416,factors!$C$2:$C$416)</f>
        <v>-0.37523869524886977</v>
      </c>
      <c r="U418">
        <f>CORREL(U2:U416,factors!$C$2:$C$416)</f>
        <v>-0.36547011243622635</v>
      </c>
      <c r="V418">
        <f>CORREL(V2:V416,factors!$C$2:$C$416)</f>
        <v>-0.38661672459904484</v>
      </c>
      <c r="W418">
        <f>CORREL(W2:W416,factors!$C$2:$C$416)</f>
        <v>0.99348812506036499</v>
      </c>
      <c r="X418">
        <f>CORREL(X2:X416,factors!$C$2:$C$416)</f>
        <v>0.75148536337384886</v>
      </c>
      <c r="Y418">
        <f>CORREL(Y2:Y416,factors!$C$2:$C$416)</f>
        <v>0.45343474797327221</v>
      </c>
      <c r="Z418">
        <f>CORREL(Z2:Z416,factors!$C$2:$C$416)</f>
        <v>0.3080609927189209</v>
      </c>
    </row>
    <row r="419" spans="1:26" x14ac:dyDescent="0.2">
      <c r="A419" t="s">
        <v>110</v>
      </c>
      <c r="C419">
        <f>CORREL(C2:C416,factors!$D$2:$D$416)</f>
        <v>2.4341757990418707E-2</v>
      </c>
      <c r="D419">
        <f>CORREL(D2:D416,factors!$D$2:$D$416)</f>
        <v>0.33492442699592218</v>
      </c>
      <c r="E419">
        <f>CORREL(E2:E416,factors!$D$2:$D$416)</f>
        <v>0.45998605158631556</v>
      </c>
      <c r="F419">
        <f>CORREL(F2:F416,factors!$D$2:$D$416)</f>
        <v>0.53275124862904977</v>
      </c>
      <c r="G419">
        <f>CORREL(G2:G416,factors!$D$2:$D$416)</f>
        <v>9.6995474002980142E-2</v>
      </c>
      <c r="H419">
        <f>CORREL(H2:H416,factors!$D$2:$D$416)</f>
        <v>0.27350955773749192</v>
      </c>
      <c r="I419">
        <f>CORREL(I2:I416,factors!$D$2:$D$416)</f>
        <v>0.31435791603690905</v>
      </c>
      <c r="J419">
        <f>CORREL(J2:J416,factors!$D$2:$D$416)</f>
        <v>0.2044949985663905</v>
      </c>
      <c r="K419">
        <f>CORREL(K2:K416,factors!$D$2:$D$416)</f>
        <v>-0.13287199934863458</v>
      </c>
      <c r="L419">
        <f>CORREL(L2:L416,factors!$D$2:$D$416)</f>
        <v>0.57189035341655448</v>
      </c>
      <c r="M419">
        <f>CORREL(M2:M416,factors!$D$2:$D$416)</f>
        <v>-2.7472578458951121E-2</v>
      </c>
      <c r="N419">
        <f>CORREL(N2:N416,factors!$D$2:$D$416)</f>
        <v>0.57785823072488796</v>
      </c>
      <c r="O419">
        <f>CORREL(O2:O416,factors!$D$2:$D$416)</f>
        <v>6.0379047036704471E-2</v>
      </c>
      <c r="P419">
        <f>CORREL(P2:P416,factors!$D$2:$D$416)</f>
        <v>0.6968623229738764</v>
      </c>
      <c r="Q419">
        <f>CORREL(Q2:Q416,factors!$D$2:$D$416)</f>
        <v>-0.13360863793159009</v>
      </c>
      <c r="R419">
        <f>CORREL(R2:R416,factors!$D$2:$D$416)</f>
        <v>-0.25490287522522376</v>
      </c>
      <c r="S419">
        <f>CORREL(S2:S416,factors!$D$2:$D$416)</f>
        <v>0.21729661189048075</v>
      </c>
      <c r="T419">
        <f>CORREL(T2:T416,factors!$D$2:$D$416)</f>
        <v>-0.13120242560381784</v>
      </c>
      <c r="U419">
        <f>CORREL(U2:U416,factors!$D$2:$D$416)</f>
        <v>-4.0315482786536967E-2</v>
      </c>
      <c r="V419">
        <f>CORREL(V2:V416,factors!$D$2:$D$416)</f>
        <v>-0.13006638840787721</v>
      </c>
      <c r="W419">
        <f>CORREL(W2:W416,factors!$D$2:$D$416)</f>
        <v>-0.13854425280369434</v>
      </c>
      <c r="X419">
        <f>CORREL(X2:X416,factors!$D$2:$D$416)</f>
        <v>0.5501867963297209</v>
      </c>
      <c r="Y419">
        <f>CORREL(Y2:Y416,factors!$D$2:$D$416)</f>
        <v>0.79591085823843966</v>
      </c>
      <c r="Z419">
        <f>CORREL(Z2:Z416,factors!$D$2:$D$416)</f>
        <v>0.83067440983323027</v>
      </c>
    </row>
    <row r="420" spans="1:26" x14ac:dyDescent="0.2">
      <c r="A420" t="s">
        <v>112</v>
      </c>
      <c r="C420">
        <f>CORREL(C2:C416,factors!$E$2:$E$416)</f>
        <v>7.4045289264528136E-2</v>
      </c>
      <c r="D420">
        <f>CORREL(D2:D416,factors!$E$2:$E$416)</f>
        <v>0.16413107293011336</v>
      </c>
      <c r="E420">
        <f>CORREL(E2:E416,factors!$E$2:$E$416)</f>
        <v>0.27419695772469421</v>
      </c>
      <c r="F420">
        <f>CORREL(F2:F416,factors!$E$2:$E$416)</f>
        <v>0.359425922780306</v>
      </c>
      <c r="G420">
        <f>CORREL(G2:G416,factors!$E$2:$E$416)</f>
        <v>0.89245393641202198</v>
      </c>
      <c r="H420">
        <f>CORREL(H2:H416,factors!$E$2:$E$416)</f>
        <v>0.54436202260171362</v>
      </c>
      <c r="I420">
        <f>CORREL(I2:I416,factors!$E$2:$E$416)</f>
        <v>0.63339531043213726</v>
      </c>
      <c r="J420">
        <f>CORREL(J2:J416,factors!$E$2:$E$416)</f>
        <v>0.80344809167589604</v>
      </c>
      <c r="K420">
        <f>CORREL(K2:K416,factors!$E$2:$E$416)</f>
        <v>-5.2804945341119999E-2</v>
      </c>
      <c r="L420">
        <f>CORREL(L2:L416,factors!$E$2:$E$416)</f>
        <v>0.32964604790608548</v>
      </c>
      <c r="M420">
        <f>CORREL(M2:M416,factors!$E$2:$E$416)</f>
        <v>-3.4149978224495642E-2</v>
      </c>
      <c r="N420">
        <f>CORREL(N2:N416,factors!$E$2:$E$416)</f>
        <v>0.59983509069114993</v>
      </c>
      <c r="O420">
        <f>CORREL(O2:O416,factors!$E$2:$E$416)</f>
        <v>1.1174586145378975E-2</v>
      </c>
      <c r="P420">
        <f>CORREL(P2:P416,factors!$E$2:$E$416)</f>
        <v>0.58126561722358971</v>
      </c>
      <c r="Q420">
        <f>CORREL(Q2:Q416,factors!$E$2:$E$416)</f>
        <v>-0.19291448499509617</v>
      </c>
      <c r="R420">
        <f>CORREL(R2:R416,factors!$E$2:$E$416)</f>
        <v>-0.48374208364642929</v>
      </c>
      <c r="S420">
        <f>CORREL(S2:S416,factors!$E$2:$E$416)</f>
        <v>0.48086638585913644</v>
      </c>
      <c r="T420">
        <f>CORREL(T2:T416,factors!$E$2:$E$416)</f>
        <v>-0.18688189427700339</v>
      </c>
      <c r="U420">
        <f>CORREL(U2:U416,factors!$E$2:$E$416)</f>
        <v>-0.1207029488749657</v>
      </c>
      <c r="V420">
        <f>CORREL(V2:V416,factors!$E$2:$E$416)</f>
        <v>-0.181610199014694</v>
      </c>
      <c r="W420">
        <f>CORREL(W2:W416,factors!$E$2:$E$416)</f>
        <v>-0.3944220959719526</v>
      </c>
      <c r="X420">
        <f>CORREL(X2:X416,factors!$E$2:$E$416)</f>
        <v>4.801787844817014E-2</v>
      </c>
      <c r="Y420">
        <f>CORREL(Y2:Y416,factors!$E$2:$E$416)</f>
        <v>0.34475379207692325</v>
      </c>
      <c r="Z420">
        <f>CORREL(Z2:Z416,factors!$E$2:$E$416)</f>
        <v>0.49944629531937657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421"/>
  <sheetViews>
    <sheetView zoomScaleNormal="100" workbookViewId="0">
      <selection activeCell="O60" sqref="O60"/>
    </sheetView>
  </sheetViews>
  <sheetFormatPr baseColWidth="10" defaultColWidth="8.83203125" defaultRowHeight="15" x14ac:dyDescent="0.2"/>
  <cols>
    <col min="1" max="1" width="15.33203125" customWidth="1"/>
    <col min="2" max="2" width="6.33203125" customWidth="1"/>
    <col min="3" max="5" width="16.33203125" customWidth="1"/>
  </cols>
  <sheetData>
    <row r="1" spans="1:5" x14ac:dyDescent="0.2">
      <c r="A1" s="7" t="s">
        <v>0</v>
      </c>
      <c r="B1" s="1" t="s">
        <v>1</v>
      </c>
      <c r="C1" s="1" t="s">
        <v>2</v>
      </c>
      <c r="D1" s="1" t="s">
        <v>3</v>
      </c>
      <c r="E1" s="1" t="s">
        <v>4</v>
      </c>
    </row>
    <row r="2" spans="1:5" x14ac:dyDescent="0.2">
      <c r="A2" s="16">
        <v>35587.458333333336</v>
      </c>
      <c r="B2" t="b">
        <v>1</v>
      </c>
      <c r="C2">
        <v>5.7369308096855968E-2</v>
      </c>
      <c r="D2">
        <v>-3.3270228853150521E-2</v>
      </c>
      <c r="E2">
        <v>-5.8653673527053769E-3</v>
      </c>
    </row>
    <row r="3" spans="1:5" x14ac:dyDescent="0.2">
      <c r="A3" s="16">
        <v>35621.458333333336</v>
      </c>
      <c r="B3" t="b">
        <v>1</v>
      </c>
      <c r="C3">
        <v>1.2228001500084134E-2</v>
      </c>
      <c r="D3">
        <v>-6.5044753537936784E-3</v>
      </c>
      <c r="E3">
        <v>1.1546039160600237E-2</v>
      </c>
    </row>
    <row r="4" spans="1:5" x14ac:dyDescent="0.2">
      <c r="A4" s="16">
        <v>35649.458333333336</v>
      </c>
      <c r="B4" t="b">
        <v>1</v>
      </c>
      <c r="C4">
        <v>-7.2559781087873726E-2</v>
      </c>
      <c r="D4">
        <v>-1.7190075060902883E-2</v>
      </c>
      <c r="E4">
        <v>-4.2270314751171177E-2</v>
      </c>
    </row>
    <row r="5" spans="1:5" x14ac:dyDescent="0.2">
      <c r="A5" s="16">
        <v>35655.395833333336</v>
      </c>
      <c r="B5" t="b">
        <v>0</v>
      </c>
      <c r="C5">
        <v>-1.9555864056641593E-2</v>
      </c>
      <c r="D5">
        <v>3.2392097310954947E-3</v>
      </c>
      <c r="E5">
        <v>-9.4830002422494897E-3</v>
      </c>
    </row>
    <row r="6" spans="1:5" x14ac:dyDescent="0.2">
      <c r="A6" s="16">
        <v>35684.458333333336</v>
      </c>
      <c r="B6" t="b">
        <v>1</v>
      </c>
      <c r="C6">
        <v>4.117297454533095E-3</v>
      </c>
      <c r="D6">
        <v>1.5697593571892661E-2</v>
      </c>
      <c r="E6">
        <v>-5.7347722618281078E-3</v>
      </c>
    </row>
    <row r="7" spans="1:5" x14ac:dyDescent="0.2">
      <c r="A7" s="16">
        <v>35712.458333333336</v>
      </c>
      <c r="B7" t="b">
        <v>1</v>
      </c>
      <c r="C7">
        <v>2.7446480545164343E-2</v>
      </c>
      <c r="D7">
        <v>2.5569042896665294E-2</v>
      </c>
      <c r="E7">
        <v>-2.2338064913828701E-2</v>
      </c>
    </row>
    <row r="8" spans="1:5" x14ac:dyDescent="0.2">
      <c r="A8" s="16">
        <v>35740.5</v>
      </c>
      <c r="B8" t="b">
        <v>1</v>
      </c>
      <c r="C8">
        <v>0.15013052361901111</v>
      </c>
      <c r="D8">
        <v>1.2446053668556723E-3</v>
      </c>
      <c r="E8">
        <v>-4.9143304923547897E-2</v>
      </c>
    </row>
    <row r="9" spans="1:5" x14ac:dyDescent="0.2">
      <c r="A9" s="16">
        <v>35746.4375</v>
      </c>
      <c r="B9" t="b">
        <v>0</v>
      </c>
      <c r="C9">
        <v>-4.3131537276070241E-2</v>
      </c>
      <c r="D9">
        <v>-2.6451078750738797E-2</v>
      </c>
      <c r="E9">
        <v>-8.6805694683320563E-3</v>
      </c>
    </row>
    <row r="10" spans="1:5" x14ac:dyDescent="0.2">
      <c r="A10" s="16">
        <v>35768.5</v>
      </c>
      <c r="B10" t="b">
        <v>1</v>
      </c>
      <c r="C10">
        <v>-3.3804177009311466E-2</v>
      </c>
      <c r="D10">
        <v>-1.0732889295756106E-2</v>
      </c>
      <c r="E10">
        <v>-8.8158017006962209E-4</v>
      </c>
    </row>
    <row r="11" spans="1:5" x14ac:dyDescent="0.2">
      <c r="A11" s="16">
        <v>35803.5</v>
      </c>
      <c r="B11" t="b">
        <v>1</v>
      </c>
      <c r="C11">
        <v>-2.8697617815433705E-2</v>
      </c>
      <c r="D11">
        <v>-1.1305864717381021E-2</v>
      </c>
      <c r="E11">
        <v>-9.3960676697691801E-4</v>
      </c>
    </row>
    <row r="12" spans="1:5" x14ac:dyDescent="0.2">
      <c r="A12" s="16">
        <v>35831.5</v>
      </c>
      <c r="B12" t="b">
        <v>1</v>
      </c>
      <c r="C12">
        <v>-1.9565483483842665E-2</v>
      </c>
      <c r="D12">
        <v>4.2175406527864097E-3</v>
      </c>
      <c r="E12">
        <v>-6.1284235596564323E-3</v>
      </c>
    </row>
    <row r="13" spans="1:5" x14ac:dyDescent="0.2">
      <c r="A13" s="16">
        <v>35837.4375</v>
      </c>
      <c r="B13" t="b">
        <v>0</v>
      </c>
      <c r="C13">
        <v>6.2643460570501672E-2</v>
      </c>
      <c r="D13">
        <v>-3.1990178741499099E-2</v>
      </c>
      <c r="E13">
        <v>1.259072612019675E-2</v>
      </c>
    </row>
    <row r="14" spans="1:5" x14ac:dyDescent="0.2">
      <c r="A14" s="16">
        <v>35859.5</v>
      </c>
      <c r="B14" t="b">
        <v>1</v>
      </c>
      <c r="C14">
        <v>-7.9601052464874422E-2</v>
      </c>
      <c r="D14">
        <v>-4.3341957352021499E-3</v>
      </c>
      <c r="E14">
        <v>8.9551672408547823E-3</v>
      </c>
    </row>
    <row r="15" spans="1:5" x14ac:dyDescent="0.2">
      <c r="A15" s="16">
        <v>35894.458333333336</v>
      </c>
      <c r="B15" t="b">
        <v>1</v>
      </c>
      <c r="C15">
        <v>1.0774208134484901E-2</v>
      </c>
      <c r="D15">
        <v>-3.033331025867881E-3</v>
      </c>
      <c r="E15">
        <v>2.804775116206915E-3</v>
      </c>
    </row>
    <row r="16" spans="1:5" x14ac:dyDescent="0.2">
      <c r="A16" s="16">
        <v>35922.458333333336</v>
      </c>
      <c r="B16" t="b">
        <v>1</v>
      </c>
      <c r="C16">
        <v>-1.0279756306854486E-2</v>
      </c>
      <c r="D16">
        <v>1.3765285161250956E-2</v>
      </c>
      <c r="E16">
        <v>-1.5457456251129285E-2</v>
      </c>
    </row>
    <row r="17" spans="1:5" x14ac:dyDescent="0.2">
      <c r="A17" s="16">
        <v>35928.395833333336</v>
      </c>
      <c r="B17" t="b">
        <v>0</v>
      </c>
      <c r="C17">
        <v>-1.0866104127866065E-2</v>
      </c>
      <c r="D17">
        <v>5.741807732712048E-3</v>
      </c>
      <c r="E17">
        <v>-5.6541960786599217E-3</v>
      </c>
    </row>
    <row r="18" spans="1:5" x14ac:dyDescent="0.2">
      <c r="A18" s="16">
        <v>35950.458333333336</v>
      </c>
      <c r="B18" t="b">
        <v>1</v>
      </c>
      <c r="C18">
        <v>0.18361755463974072</v>
      </c>
      <c r="D18">
        <v>6.1389632855582486E-2</v>
      </c>
      <c r="E18">
        <v>-4.8340394553129426E-2</v>
      </c>
    </row>
    <row r="19" spans="1:5" x14ac:dyDescent="0.2">
      <c r="A19" s="16">
        <v>36013.458333333336</v>
      </c>
      <c r="B19" t="b">
        <v>1</v>
      </c>
      <c r="C19">
        <v>-8.4167728043899617E-2</v>
      </c>
      <c r="D19">
        <v>1.5713400339288315E-2</v>
      </c>
      <c r="E19">
        <v>-1.8038791098662844E-2</v>
      </c>
    </row>
    <row r="20" spans="1:5" x14ac:dyDescent="0.2">
      <c r="A20" s="16">
        <v>36020.395833333336</v>
      </c>
      <c r="B20" t="b">
        <v>0</v>
      </c>
      <c r="C20">
        <v>2.6547344595451196E-2</v>
      </c>
      <c r="D20">
        <v>3.9899241946432788E-2</v>
      </c>
      <c r="E20">
        <v>-3.6654932287139754E-3</v>
      </c>
    </row>
    <row r="21" spans="1:5" x14ac:dyDescent="0.2">
      <c r="A21" s="16">
        <v>36048.458333333336</v>
      </c>
      <c r="B21" t="b">
        <v>1</v>
      </c>
      <c r="C21">
        <v>3.4062412660239627E-2</v>
      </c>
      <c r="D21">
        <v>-9.1991827510252089E-2</v>
      </c>
      <c r="E21">
        <v>-1.9961412772686385E-2</v>
      </c>
    </row>
    <row r="22" spans="1:5" x14ac:dyDescent="0.2">
      <c r="A22" s="16">
        <v>36076.458333333336</v>
      </c>
      <c r="B22" t="b">
        <v>1</v>
      </c>
      <c r="C22">
        <v>-9.1420194302071628E-2</v>
      </c>
      <c r="D22">
        <v>2.9736278513365317E-2</v>
      </c>
      <c r="E22">
        <v>6.5871067648859659E-3</v>
      </c>
    </row>
    <row r="23" spans="1:5" x14ac:dyDescent="0.2">
      <c r="A23" s="16">
        <v>36104.5</v>
      </c>
      <c r="B23" t="b">
        <v>1</v>
      </c>
      <c r="C23">
        <v>-9.7968735117106381E-2</v>
      </c>
      <c r="D23">
        <v>6.4478298413179008E-2</v>
      </c>
      <c r="E23">
        <v>-4.0997815596247662E-2</v>
      </c>
    </row>
    <row r="24" spans="1:5" x14ac:dyDescent="0.2">
      <c r="A24" s="16">
        <v>36110.4375</v>
      </c>
      <c r="B24" t="b">
        <v>0</v>
      </c>
      <c r="C24">
        <v>0.13305027095008914</v>
      </c>
      <c r="D24">
        <v>-3.0171360553956139E-2</v>
      </c>
      <c r="E24">
        <v>5.8854038658168441E-2</v>
      </c>
    </row>
    <row r="25" spans="1:5" x14ac:dyDescent="0.2">
      <c r="A25" s="16">
        <v>36139.5</v>
      </c>
      <c r="B25" t="b">
        <v>1</v>
      </c>
      <c r="C25">
        <v>-5.6042986374859202E-2</v>
      </c>
      <c r="D25">
        <v>-1.8996180452973885E-2</v>
      </c>
      <c r="E25">
        <v>1.1540007365733186E-2</v>
      </c>
    </row>
    <row r="26" spans="1:5" x14ac:dyDescent="0.2">
      <c r="A26" s="16">
        <v>36167.5</v>
      </c>
      <c r="B26" t="b">
        <v>1</v>
      </c>
      <c r="C26">
        <v>-6.0650577987459153E-2</v>
      </c>
      <c r="D26">
        <v>-4.756504526986443E-2</v>
      </c>
      <c r="E26">
        <v>3.2793839176499272E-2</v>
      </c>
    </row>
    <row r="27" spans="1:5" x14ac:dyDescent="0.2">
      <c r="A27" s="16">
        <v>36195.5</v>
      </c>
      <c r="B27" t="b">
        <v>1</v>
      </c>
      <c r="C27">
        <v>-0.16114125136613058</v>
      </c>
      <c r="D27">
        <v>0.11503166527889956</v>
      </c>
      <c r="E27">
        <v>-2.6850794727241854E-2</v>
      </c>
    </row>
    <row r="28" spans="1:5" x14ac:dyDescent="0.2">
      <c r="A28" s="16">
        <v>36201.4375</v>
      </c>
      <c r="B28" t="b">
        <v>0</v>
      </c>
      <c r="C28">
        <v>-6.1757876587771085E-2</v>
      </c>
      <c r="D28">
        <v>-2.4981636682271387E-2</v>
      </c>
      <c r="E28">
        <v>3.0186490292780432E-2</v>
      </c>
    </row>
    <row r="29" spans="1:5" x14ac:dyDescent="0.2">
      <c r="A29" s="16">
        <v>36222.5</v>
      </c>
      <c r="B29" t="b">
        <v>1</v>
      </c>
      <c r="C29">
        <v>0.13606856911191217</v>
      </c>
      <c r="D29">
        <v>-5.6835919389997887E-2</v>
      </c>
      <c r="E29">
        <v>3.2595397730607302E-2</v>
      </c>
    </row>
    <row r="30" spans="1:5" x14ac:dyDescent="0.2">
      <c r="A30" s="16">
        <v>36258.458333333336</v>
      </c>
      <c r="B30" t="b">
        <v>1</v>
      </c>
      <c r="C30">
        <v>-3.3614403291618625E-3</v>
      </c>
      <c r="D30">
        <v>1.3111728212838117E-2</v>
      </c>
      <c r="E30">
        <v>-1.5125348017366201E-2</v>
      </c>
    </row>
    <row r="31" spans="1:5" x14ac:dyDescent="0.2">
      <c r="A31" s="16">
        <v>36286.458333333336</v>
      </c>
      <c r="B31" t="b">
        <v>1</v>
      </c>
      <c r="C31">
        <v>4.0037968398158402E-2</v>
      </c>
      <c r="D31">
        <v>-3.6036482703300822E-2</v>
      </c>
      <c r="E31">
        <v>-9.7897521050414864E-3</v>
      </c>
    </row>
    <row r="32" spans="1:5" x14ac:dyDescent="0.2">
      <c r="A32" s="16">
        <v>36292.395833333336</v>
      </c>
      <c r="B32" t="b">
        <v>0</v>
      </c>
      <c r="C32">
        <v>-1.4297039639355223E-2</v>
      </c>
      <c r="D32">
        <v>-2.5663122715613952E-3</v>
      </c>
      <c r="E32">
        <v>1.0653613723764726E-2</v>
      </c>
    </row>
    <row r="33" spans="1:5" x14ac:dyDescent="0.2">
      <c r="A33" s="16">
        <v>36321.458333333336</v>
      </c>
      <c r="B33" t="b">
        <v>1</v>
      </c>
      <c r="C33">
        <v>-8.408163325970136E-2</v>
      </c>
      <c r="D33">
        <v>1.0760777932207394E-2</v>
      </c>
      <c r="E33">
        <v>4.1311684241361321E-2</v>
      </c>
    </row>
    <row r="34" spans="1:5" x14ac:dyDescent="0.2">
      <c r="A34" s="16">
        <v>36349.458333333336</v>
      </c>
      <c r="B34" t="b">
        <v>1</v>
      </c>
      <c r="C34">
        <v>2.5074881801927133E-2</v>
      </c>
      <c r="D34">
        <v>9.3507899547973349E-3</v>
      </c>
      <c r="E34">
        <v>1.475106965535384E-3</v>
      </c>
    </row>
    <row r="35" spans="1:5" x14ac:dyDescent="0.2">
      <c r="A35" s="16">
        <v>36377.458333333336</v>
      </c>
      <c r="B35" t="b">
        <v>1</v>
      </c>
      <c r="C35">
        <v>-3.7114466380458334E-3</v>
      </c>
      <c r="D35">
        <v>1.787842238285714E-2</v>
      </c>
      <c r="E35">
        <v>2.9837758017905051E-2</v>
      </c>
    </row>
    <row r="36" spans="1:5" x14ac:dyDescent="0.2">
      <c r="A36" s="16">
        <v>36383.395833333336</v>
      </c>
      <c r="B36" t="b">
        <v>0</v>
      </c>
      <c r="C36">
        <v>-1.8400770898739451E-2</v>
      </c>
      <c r="D36">
        <v>-2.5811474446620731E-2</v>
      </c>
      <c r="E36">
        <v>-2.6523331361230879E-2</v>
      </c>
    </row>
    <row r="37" spans="1:5" x14ac:dyDescent="0.2">
      <c r="A37" s="16">
        <v>36411.458333333336</v>
      </c>
      <c r="B37" t="b">
        <v>1</v>
      </c>
      <c r="C37">
        <v>0.22628668691039638</v>
      </c>
      <c r="D37">
        <v>9.7020774010203401E-3</v>
      </c>
      <c r="E37">
        <v>3.7064694016599287E-2</v>
      </c>
    </row>
    <row r="38" spans="1:5" x14ac:dyDescent="0.2">
      <c r="A38" s="16">
        <v>36440.458333333336</v>
      </c>
      <c r="B38" t="b">
        <v>1</v>
      </c>
      <c r="C38">
        <v>-3.8961157625474786E-2</v>
      </c>
      <c r="D38">
        <v>-1.9872351896923331E-2</v>
      </c>
      <c r="E38">
        <v>4.5777990499869188E-4</v>
      </c>
    </row>
    <row r="39" spans="1:5" x14ac:dyDescent="0.2">
      <c r="A39" s="16">
        <v>36468.5</v>
      </c>
      <c r="B39" t="b">
        <v>1</v>
      </c>
      <c r="C39">
        <v>-2.4176316131385302E-2</v>
      </c>
      <c r="D39">
        <v>2.7617581704891064E-2</v>
      </c>
      <c r="E39">
        <v>-1.9180385327758093E-2</v>
      </c>
    </row>
    <row r="40" spans="1:5" x14ac:dyDescent="0.2">
      <c r="A40" s="16">
        <v>36474.4375</v>
      </c>
      <c r="B40" t="b">
        <v>0</v>
      </c>
      <c r="C40">
        <v>-5.9142440159491967E-3</v>
      </c>
      <c r="D40">
        <v>-7.2731362572449915E-2</v>
      </c>
      <c r="E40">
        <v>-3.1292098583624432E-3</v>
      </c>
    </row>
    <row r="41" spans="1:5" x14ac:dyDescent="0.2">
      <c r="A41" s="16">
        <v>36503.5</v>
      </c>
      <c r="B41" t="b">
        <v>1</v>
      </c>
      <c r="C41">
        <v>-7.3716630878299758E-2</v>
      </c>
      <c r="D41">
        <v>5.6909893885391E-2</v>
      </c>
      <c r="E41">
        <v>-2.1353628991958987E-2</v>
      </c>
    </row>
    <row r="42" spans="1:5" x14ac:dyDescent="0.2">
      <c r="A42" s="16">
        <v>36538.5</v>
      </c>
      <c r="B42" t="b">
        <v>1</v>
      </c>
      <c r="C42">
        <v>-6.2346237908491683E-2</v>
      </c>
      <c r="D42">
        <v>1.6915542767877947E-2</v>
      </c>
      <c r="E42">
        <v>1.9261269576557261E-2</v>
      </c>
    </row>
    <row r="43" spans="1:5" x14ac:dyDescent="0.2">
      <c r="A43" s="16">
        <v>36566.5</v>
      </c>
      <c r="B43" t="b">
        <v>1</v>
      </c>
      <c r="C43">
        <v>1.0696461574661711E-2</v>
      </c>
      <c r="D43">
        <v>5.1725248981952573E-3</v>
      </c>
      <c r="E43">
        <v>-1.3696781277647315E-2</v>
      </c>
    </row>
    <row r="44" spans="1:5" x14ac:dyDescent="0.2">
      <c r="A44" s="16">
        <v>36573.4375</v>
      </c>
      <c r="B44" t="b">
        <v>0</v>
      </c>
      <c r="C44">
        <v>-4.6257030288140544E-2</v>
      </c>
      <c r="D44">
        <v>-3.3918993176605051E-2</v>
      </c>
      <c r="E44">
        <v>-1.6722604717084432E-2</v>
      </c>
    </row>
    <row r="45" spans="1:5" x14ac:dyDescent="0.2">
      <c r="A45" s="16">
        <v>36594.5</v>
      </c>
      <c r="B45" t="b">
        <v>1</v>
      </c>
      <c r="C45">
        <v>-2.2323827525916894E-2</v>
      </c>
      <c r="D45">
        <v>2.8726059746921516E-2</v>
      </c>
      <c r="E45">
        <v>4.0275857265999098E-3</v>
      </c>
    </row>
    <row r="46" spans="1:5" x14ac:dyDescent="0.2">
      <c r="A46" s="16">
        <v>36622.458333333336</v>
      </c>
      <c r="B46" t="b">
        <v>1</v>
      </c>
      <c r="C46">
        <v>-6.0130686412395336E-2</v>
      </c>
      <c r="D46">
        <v>2.9701851137288911E-2</v>
      </c>
      <c r="E46">
        <v>9.5143646610536987E-3</v>
      </c>
    </row>
    <row r="47" spans="1:5" x14ac:dyDescent="0.2">
      <c r="A47" s="16">
        <v>36650.458333333336</v>
      </c>
      <c r="B47" t="b">
        <v>1</v>
      </c>
      <c r="C47">
        <v>-4.0909051167660256E-2</v>
      </c>
      <c r="D47">
        <v>1.495121546498282E-2</v>
      </c>
      <c r="E47">
        <v>1.4639658191193615E-2</v>
      </c>
    </row>
    <row r="48" spans="1:5" x14ac:dyDescent="0.2">
      <c r="A48" s="16">
        <v>36656.395833333336</v>
      </c>
      <c r="B48" t="b">
        <v>0</v>
      </c>
      <c r="C48">
        <v>-2.1356498218584919E-2</v>
      </c>
      <c r="D48">
        <v>-3.4979573751144084E-2</v>
      </c>
      <c r="E48">
        <v>-6.9506824805604219E-3</v>
      </c>
    </row>
    <row r="49" spans="1:5" x14ac:dyDescent="0.2">
      <c r="A49" s="16">
        <v>36684.458333333336</v>
      </c>
      <c r="B49" t="b">
        <v>1</v>
      </c>
      <c r="C49">
        <v>-2.6603711629479287E-2</v>
      </c>
      <c r="D49">
        <v>1.1523962424869237E-2</v>
      </c>
      <c r="E49">
        <v>8.4930086108878696E-3</v>
      </c>
    </row>
    <row r="50" spans="1:5" x14ac:dyDescent="0.2">
      <c r="A50" s="16">
        <v>36713.458333333336</v>
      </c>
      <c r="B50" t="b">
        <v>1</v>
      </c>
      <c r="C50">
        <v>9.2984723365236877E-3</v>
      </c>
      <c r="D50">
        <v>1.8123481814170575E-3</v>
      </c>
      <c r="E50">
        <v>-4.8473203997903764E-4</v>
      </c>
    </row>
    <row r="51" spans="1:5" x14ac:dyDescent="0.2">
      <c r="A51" s="16">
        <v>36741.458333333336</v>
      </c>
      <c r="B51" t="b">
        <v>1</v>
      </c>
      <c r="C51">
        <v>-4.8078089910408454E-2</v>
      </c>
      <c r="D51">
        <v>1.398992192652989E-2</v>
      </c>
      <c r="E51">
        <v>-7.2422805874669339E-3</v>
      </c>
    </row>
    <row r="52" spans="1:5" x14ac:dyDescent="0.2">
      <c r="A52" s="16">
        <v>36747.395833333336</v>
      </c>
      <c r="B52" t="b">
        <v>0</v>
      </c>
      <c r="C52">
        <v>-2.2918395407903771E-2</v>
      </c>
      <c r="D52">
        <v>-8.5080365646351529E-3</v>
      </c>
      <c r="E52">
        <v>-9.6344597875185241E-3</v>
      </c>
    </row>
    <row r="53" spans="1:5" x14ac:dyDescent="0.2">
      <c r="A53" s="16">
        <v>36776.458333333336</v>
      </c>
      <c r="B53" t="b">
        <v>1</v>
      </c>
      <c r="C53">
        <v>-6.6836558000625018E-2</v>
      </c>
      <c r="D53">
        <v>1.9494853322527712E-2</v>
      </c>
      <c r="E53">
        <v>9.0150229210163666E-3</v>
      </c>
    </row>
    <row r="54" spans="1:5" x14ac:dyDescent="0.2">
      <c r="A54" s="16">
        <v>36804.458333333336</v>
      </c>
      <c r="B54" t="b">
        <v>1</v>
      </c>
      <c r="C54">
        <v>-9.7185486055001314E-3</v>
      </c>
      <c r="D54">
        <v>8.1692988834406732E-3</v>
      </c>
      <c r="E54">
        <v>1.177961615716573E-2</v>
      </c>
    </row>
    <row r="55" spans="1:5" x14ac:dyDescent="0.2">
      <c r="A55" s="16">
        <v>36839.5</v>
      </c>
      <c r="B55" t="b">
        <v>1</v>
      </c>
      <c r="C55">
        <v>1.9943866773645152E-4</v>
      </c>
      <c r="D55">
        <v>1.8497422895874546E-3</v>
      </c>
      <c r="E55">
        <v>3.196951172847315E-3</v>
      </c>
    </row>
    <row r="56" spans="1:5" x14ac:dyDescent="0.2">
      <c r="A56" s="16">
        <v>36846.4375</v>
      </c>
      <c r="B56" t="b">
        <v>0</v>
      </c>
      <c r="C56">
        <v>4.8957218427883231E-3</v>
      </c>
      <c r="D56">
        <v>-1.271257362553288E-2</v>
      </c>
      <c r="E56">
        <v>1.3908955170436686E-3</v>
      </c>
    </row>
    <row r="57" spans="1:5" x14ac:dyDescent="0.2">
      <c r="A57" s="16">
        <v>36867.5</v>
      </c>
      <c r="B57" t="b">
        <v>1</v>
      </c>
      <c r="C57">
        <v>-4.2225447652878128E-4</v>
      </c>
      <c r="D57">
        <v>1.0470747521631118E-3</v>
      </c>
      <c r="E57">
        <v>-4.8025049071862827E-3</v>
      </c>
    </row>
    <row r="58" spans="1:5" x14ac:dyDescent="0.2">
      <c r="A58" s="16">
        <v>36902.5</v>
      </c>
      <c r="B58" t="b">
        <v>1</v>
      </c>
      <c r="C58">
        <v>3.9015819378730013E-2</v>
      </c>
      <c r="D58">
        <v>-1.5709773362915295E-2</v>
      </c>
      <c r="E58">
        <v>-1.1966030173582776E-2</v>
      </c>
    </row>
    <row r="59" spans="1:5" x14ac:dyDescent="0.2">
      <c r="A59" s="16">
        <v>36930.5</v>
      </c>
      <c r="B59" t="b">
        <v>1</v>
      </c>
      <c r="C59">
        <v>1.7953854139925066E-2</v>
      </c>
      <c r="D59">
        <v>-8.8864022261614089E-3</v>
      </c>
      <c r="E59">
        <v>8.4207743201712322E-3</v>
      </c>
    </row>
    <row r="60" spans="1:5" x14ac:dyDescent="0.2">
      <c r="A60" s="16">
        <v>36936.4375</v>
      </c>
      <c r="B60" t="b">
        <v>0</v>
      </c>
      <c r="C60">
        <v>1.8756124025796211E-2</v>
      </c>
      <c r="D60">
        <v>-1.0661642742139453E-3</v>
      </c>
      <c r="E60">
        <v>5.0905263434135317E-3</v>
      </c>
    </row>
    <row r="61" spans="1:5" x14ac:dyDescent="0.2">
      <c r="A61" s="16">
        <v>36986.458333333336</v>
      </c>
      <c r="B61" t="b">
        <v>1</v>
      </c>
      <c r="C61">
        <v>4.7441550135029261E-4</v>
      </c>
      <c r="D61">
        <v>-6.2961809997519854E-3</v>
      </c>
      <c r="E61">
        <v>8.3099109393635212E-3</v>
      </c>
    </row>
    <row r="62" spans="1:5" x14ac:dyDescent="0.2">
      <c r="A62" s="16">
        <v>37021.458333333336</v>
      </c>
      <c r="B62" t="b">
        <v>1</v>
      </c>
      <c r="C62">
        <v>5.0496466755377195E-2</v>
      </c>
      <c r="D62">
        <v>-5.5089028504248091E-3</v>
      </c>
      <c r="E62">
        <v>-1.033794589683114E-2</v>
      </c>
    </row>
    <row r="63" spans="1:5" x14ac:dyDescent="0.2">
      <c r="A63" s="16">
        <v>37027.395833333336</v>
      </c>
      <c r="B63" t="b">
        <v>0</v>
      </c>
      <c r="C63">
        <v>-2.232950870533643E-3</v>
      </c>
      <c r="D63">
        <v>1.1591932090998485E-3</v>
      </c>
      <c r="E63">
        <v>-4.1169836156672813E-3</v>
      </c>
    </row>
    <row r="64" spans="1:5" x14ac:dyDescent="0.2">
      <c r="A64" s="16">
        <v>37048.458333333336</v>
      </c>
      <c r="B64" t="b">
        <v>1</v>
      </c>
      <c r="C64">
        <v>7.0443405694523295E-3</v>
      </c>
      <c r="D64">
        <v>-2.2030787668545097E-2</v>
      </c>
      <c r="E64">
        <v>1.7722069199935389E-3</v>
      </c>
    </row>
    <row r="65" spans="1:5" x14ac:dyDescent="0.2">
      <c r="A65" s="16">
        <v>37077.458333333336</v>
      </c>
      <c r="B65" t="b">
        <v>1</v>
      </c>
      <c r="C65">
        <v>-1.1642218082109905E-3</v>
      </c>
      <c r="D65">
        <v>-1.0200983518036978E-2</v>
      </c>
      <c r="E65">
        <v>1.365496324126414E-4</v>
      </c>
    </row>
    <row r="66" spans="1:5" x14ac:dyDescent="0.2">
      <c r="A66" s="16">
        <v>37105.458333333336</v>
      </c>
      <c r="B66" t="b">
        <v>1</v>
      </c>
      <c r="C66">
        <v>-0.17286059469957427</v>
      </c>
      <c r="D66">
        <v>-0.11391424223091237</v>
      </c>
      <c r="E66">
        <v>4.0265103404595694E-2</v>
      </c>
    </row>
    <row r="67" spans="1:5" x14ac:dyDescent="0.2">
      <c r="A67" s="16">
        <v>37111.395833333336</v>
      </c>
      <c r="B67" t="b">
        <v>0</v>
      </c>
      <c r="C67">
        <v>6.9336888222822348E-3</v>
      </c>
      <c r="D67">
        <v>1.4289239926174518E-2</v>
      </c>
      <c r="E67">
        <v>-3.1335216542532161E-3</v>
      </c>
    </row>
    <row r="68" spans="1:5" x14ac:dyDescent="0.2">
      <c r="A68" s="16">
        <v>37140.458333333336</v>
      </c>
      <c r="B68" t="b">
        <v>1</v>
      </c>
      <c r="C68">
        <v>1.8280679994421799E-2</v>
      </c>
      <c r="D68">
        <v>-2.7418056176239027E-2</v>
      </c>
      <c r="E68">
        <v>-8.3871037129815574E-4</v>
      </c>
    </row>
    <row r="69" spans="1:5" x14ac:dyDescent="0.2">
      <c r="A69" s="16">
        <v>37152.458333333336</v>
      </c>
      <c r="B69" t="b">
        <v>1</v>
      </c>
      <c r="C69">
        <v>3.8606689414445693E-2</v>
      </c>
      <c r="D69">
        <v>-2.2286682909859454E-2</v>
      </c>
      <c r="E69">
        <v>-1.6848744552207702E-2</v>
      </c>
    </row>
    <row r="70" spans="1:5" x14ac:dyDescent="0.2">
      <c r="A70" s="16">
        <v>37168.458333333336</v>
      </c>
      <c r="B70" t="b">
        <v>1</v>
      </c>
      <c r="C70">
        <v>-5.4306359494800227E-2</v>
      </c>
      <c r="D70">
        <v>5.1450655457766295E-2</v>
      </c>
      <c r="E70">
        <v>-9.2469875482017391E-3</v>
      </c>
    </row>
    <row r="71" spans="1:5" x14ac:dyDescent="0.2">
      <c r="A71" s="16">
        <v>37203.5</v>
      </c>
      <c r="B71" t="b">
        <v>1</v>
      </c>
      <c r="C71">
        <v>-0.15549511086158149</v>
      </c>
      <c r="D71">
        <v>-5.5525744011408557E-2</v>
      </c>
      <c r="E71">
        <v>4.79654339600088E-3</v>
      </c>
    </row>
    <row r="72" spans="1:5" x14ac:dyDescent="0.2">
      <c r="A72" s="16">
        <v>37209.4375</v>
      </c>
      <c r="B72" t="b">
        <v>0</v>
      </c>
      <c r="C72">
        <v>3.3349342415289085E-2</v>
      </c>
      <c r="D72">
        <v>3.0944472212991916E-2</v>
      </c>
      <c r="E72">
        <v>2.5985953820402585E-2</v>
      </c>
    </row>
    <row r="73" spans="1:5" x14ac:dyDescent="0.2">
      <c r="A73" s="16">
        <v>37230.5</v>
      </c>
      <c r="B73" t="b">
        <v>1</v>
      </c>
      <c r="C73">
        <v>1.3719757904319901E-2</v>
      </c>
      <c r="D73">
        <v>2.9316741933233359E-2</v>
      </c>
      <c r="E73">
        <v>3.0852170860038576E-3</v>
      </c>
    </row>
    <row r="74" spans="1:5" x14ac:dyDescent="0.2">
      <c r="A74" s="16">
        <v>37266.5</v>
      </c>
      <c r="B74" t="b">
        <v>1</v>
      </c>
      <c r="C74">
        <v>3.7791901712372908E-3</v>
      </c>
      <c r="D74">
        <v>-1.8315500275926981E-2</v>
      </c>
      <c r="E74">
        <v>-5.166579026859997E-3</v>
      </c>
    </row>
    <row r="75" spans="1:5" x14ac:dyDescent="0.2">
      <c r="A75" s="16">
        <v>37294.5</v>
      </c>
      <c r="B75" t="b">
        <v>1</v>
      </c>
      <c r="C75">
        <v>3.8049280033980865E-2</v>
      </c>
      <c r="D75">
        <v>-1.0772248028823244E-2</v>
      </c>
      <c r="E75">
        <v>-4.9498096705064606E-3</v>
      </c>
    </row>
    <row r="76" spans="1:5" x14ac:dyDescent="0.2">
      <c r="A76" s="16">
        <v>37300.4375</v>
      </c>
      <c r="B76" t="b">
        <v>0</v>
      </c>
      <c r="C76">
        <v>-1.9305778175629919E-2</v>
      </c>
      <c r="D76">
        <v>-2.4742126265898605E-2</v>
      </c>
      <c r="E76">
        <v>-6.9000584415280586E-3</v>
      </c>
    </row>
    <row r="77" spans="1:5" x14ac:dyDescent="0.2">
      <c r="A77" s="16">
        <v>37322.5</v>
      </c>
      <c r="B77" t="b">
        <v>1</v>
      </c>
      <c r="C77">
        <v>-2.3349768765661945E-3</v>
      </c>
      <c r="D77">
        <v>1.1717979880877593E-2</v>
      </c>
      <c r="E77">
        <v>-1.8063029781739438E-3</v>
      </c>
    </row>
    <row r="78" spans="1:5" x14ac:dyDescent="0.2">
      <c r="A78" s="16">
        <v>37350.458333333336</v>
      </c>
      <c r="B78" t="b">
        <v>1</v>
      </c>
      <c r="C78">
        <v>-1.834388577484573E-2</v>
      </c>
      <c r="D78">
        <v>-1.0734831425228023E-2</v>
      </c>
      <c r="E78">
        <v>5.0351912448607311E-3</v>
      </c>
    </row>
    <row r="79" spans="1:5" x14ac:dyDescent="0.2">
      <c r="A79" s="16">
        <v>37385.458333333336</v>
      </c>
      <c r="B79" t="b">
        <v>1</v>
      </c>
      <c r="C79">
        <v>-1.7235777723860389E-2</v>
      </c>
      <c r="D79">
        <v>5.7361459590226675E-3</v>
      </c>
      <c r="E79">
        <v>2.2195443473039399E-3</v>
      </c>
    </row>
    <row r="80" spans="1:5" x14ac:dyDescent="0.2">
      <c r="A80" s="16">
        <v>37391.395833333336</v>
      </c>
      <c r="B80" t="b">
        <v>0</v>
      </c>
      <c r="C80">
        <v>5.9680468308791534E-2</v>
      </c>
      <c r="D80">
        <v>4.7895152292890472E-2</v>
      </c>
      <c r="E80">
        <v>-4.3027563014622783E-3</v>
      </c>
    </row>
    <row r="81" spans="1:5" x14ac:dyDescent="0.2">
      <c r="A81" s="16">
        <v>37413.458333333336</v>
      </c>
      <c r="B81" t="b">
        <v>1</v>
      </c>
      <c r="C81">
        <v>-6.4317702534803289E-2</v>
      </c>
      <c r="D81">
        <v>1.9126236876212024E-2</v>
      </c>
      <c r="E81">
        <v>7.4764189168350943E-3</v>
      </c>
    </row>
    <row r="82" spans="1:5" x14ac:dyDescent="0.2">
      <c r="A82" s="16">
        <v>37441.458333333336</v>
      </c>
      <c r="B82" t="b">
        <v>1</v>
      </c>
      <c r="C82">
        <v>-1.9050576314731817E-2</v>
      </c>
      <c r="D82">
        <v>1.4292854456769961E-2</v>
      </c>
      <c r="E82">
        <v>5.6719139897497325E-3</v>
      </c>
    </row>
    <row r="83" spans="1:5" x14ac:dyDescent="0.2">
      <c r="A83" s="16">
        <v>37469.458333333336</v>
      </c>
      <c r="B83" t="b">
        <v>1</v>
      </c>
      <c r="C83">
        <v>2.5806501973395391E-2</v>
      </c>
      <c r="D83">
        <v>2.1484412409771558E-3</v>
      </c>
      <c r="E83">
        <v>2.1440921630131905E-4</v>
      </c>
    </row>
    <row r="84" spans="1:5" x14ac:dyDescent="0.2">
      <c r="A84" s="16">
        <v>37475.395833333336</v>
      </c>
      <c r="B84" t="b">
        <v>0</v>
      </c>
      <c r="C84">
        <v>-2.2928217537166739E-2</v>
      </c>
      <c r="D84">
        <v>-2.6017409201368791E-2</v>
      </c>
      <c r="E84">
        <v>-1.0688439295972229E-2</v>
      </c>
    </row>
    <row r="85" spans="1:5" x14ac:dyDescent="0.2">
      <c r="A85" s="16">
        <v>37504.458333333336</v>
      </c>
      <c r="B85" t="b">
        <v>1</v>
      </c>
      <c r="C85">
        <v>1.7219673407301541E-2</v>
      </c>
      <c r="D85">
        <v>-6.038649063467373E-3</v>
      </c>
      <c r="E85">
        <v>-1.9065784324352655E-3</v>
      </c>
    </row>
    <row r="86" spans="1:5" x14ac:dyDescent="0.2">
      <c r="A86" s="16">
        <v>37539.458333333336</v>
      </c>
      <c r="B86" t="b">
        <v>1</v>
      </c>
      <c r="C86">
        <v>1.7710599539354419E-2</v>
      </c>
      <c r="D86">
        <v>-9.9638841561741718E-3</v>
      </c>
      <c r="E86">
        <v>4.00630337889968E-3</v>
      </c>
    </row>
    <row r="87" spans="1:5" x14ac:dyDescent="0.2">
      <c r="A87" s="16">
        <v>37567.5</v>
      </c>
      <c r="B87" t="b">
        <v>1</v>
      </c>
      <c r="C87">
        <v>0.13406919141108237</v>
      </c>
      <c r="D87">
        <v>1.8399953083207885E-2</v>
      </c>
      <c r="E87">
        <v>5.6806092747543186E-4</v>
      </c>
    </row>
    <row r="88" spans="1:5" x14ac:dyDescent="0.2">
      <c r="A88" s="16">
        <v>37573.4375</v>
      </c>
      <c r="B88" t="b">
        <v>0</v>
      </c>
      <c r="C88">
        <v>1.0382032884658898E-2</v>
      </c>
      <c r="D88">
        <v>1.9226821671595912E-2</v>
      </c>
      <c r="E88">
        <v>-4.2793628839694446E-3</v>
      </c>
    </row>
    <row r="89" spans="1:5" x14ac:dyDescent="0.2">
      <c r="A89" s="16">
        <v>37595.5</v>
      </c>
      <c r="B89" t="b">
        <v>1</v>
      </c>
      <c r="C89">
        <v>8.0645993824151538E-3</v>
      </c>
      <c r="D89">
        <v>-6.967196478471922E-3</v>
      </c>
      <c r="E89">
        <v>-2.0538447522577825E-3</v>
      </c>
    </row>
    <row r="90" spans="1:5" x14ac:dyDescent="0.2">
      <c r="A90" s="16">
        <v>37630.5</v>
      </c>
      <c r="B90" t="b">
        <v>1</v>
      </c>
      <c r="C90">
        <v>1.6281057709135724E-2</v>
      </c>
      <c r="D90">
        <v>-1.1174966799906857E-2</v>
      </c>
      <c r="E90">
        <v>-1.9593777840666259E-3</v>
      </c>
    </row>
    <row r="91" spans="1:5" x14ac:dyDescent="0.2">
      <c r="A91" s="16">
        <v>37658.5</v>
      </c>
      <c r="B91" t="b">
        <v>1</v>
      </c>
      <c r="C91">
        <v>-0.15878822341604679</v>
      </c>
      <c r="D91">
        <v>-0.12051529470491609</v>
      </c>
      <c r="E91">
        <v>-2.0705844116907027E-2</v>
      </c>
    </row>
    <row r="92" spans="1:5" x14ac:dyDescent="0.2">
      <c r="A92" s="16">
        <v>37664.4375</v>
      </c>
      <c r="B92" t="b">
        <v>0</v>
      </c>
      <c r="C92">
        <v>3.6334464491680494E-3</v>
      </c>
      <c r="D92">
        <v>8.3820094350722677E-4</v>
      </c>
      <c r="E92">
        <v>-4.3526974986897058E-3</v>
      </c>
    </row>
    <row r="93" spans="1:5" x14ac:dyDescent="0.2">
      <c r="A93" s="16">
        <v>37686.5</v>
      </c>
      <c r="B93" t="b">
        <v>1</v>
      </c>
      <c r="C93">
        <v>2.1111842524046284E-2</v>
      </c>
      <c r="D93">
        <v>1.26158520124675E-2</v>
      </c>
      <c r="E93">
        <v>-8.4755326392285477E-3</v>
      </c>
    </row>
    <row r="94" spans="1:5" x14ac:dyDescent="0.2">
      <c r="A94" s="16">
        <v>37749.458333333336</v>
      </c>
      <c r="B94" t="b">
        <v>1</v>
      </c>
      <c r="C94">
        <v>5.8057184569486692E-2</v>
      </c>
      <c r="D94">
        <v>3.3140313888274792E-2</v>
      </c>
      <c r="E94">
        <v>-1.8222154838570027E-2</v>
      </c>
    </row>
    <row r="95" spans="1:5" x14ac:dyDescent="0.2">
      <c r="A95" s="16">
        <v>37756.395833333336</v>
      </c>
      <c r="B95" t="b">
        <v>0</v>
      </c>
      <c r="C95">
        <v>-1.9699691529886373E-2</v>
      </c>
      <c r="D95">
        <v>-0.12156761146076826</v>
      </c>
      <c r="E95">
        <v>-6.7420761219982818E-3</v>
      </c>
    </row>
    <row r="96" spans="1:5" x14ac:dyDescent="0.2">
      <c r="A96" s="16">
        <v>37777.458333333336</v>
      </c>
      <c r="B96" t="b">
        <v>1</v>
      </c>
      <c r="C96">
        <v>4.0548855624402393E-2</v>
      </c>
      <c r="D96">
        <v>-4.8780970088184959E-3</v>
      </c>
      <c r="E96">
        <v>-9.2460466774188666E-3</v>
      </c>
    </row>
    <row r="97" spans="1:5" x14ac:dyDescent="0.2">
      <c r="A97" s="16">
        <v>37812.458333333336</v>
      </c>
      <c r="B97" t="b">
        <v>1</v>
      </c>
      <c r="C97">
        <v>-7.2708986872321982E-2</v>
      </c>
      <c r="D97">
        <v>-2.1616550366653439E-2</v>
      </c>
      <c r="E97">
        <v>2.5982943333841741E-3</v>
      </c>
    </row>
    <row r="98" spans="1:5" x14ac:dyDescent="0.2">
      <c r="A98" s="16">
        <v>37840.458333333336</v>
      </c>
      <c r="B98" t="b">
        <v>1</v>
      </c>
      <c r="C98">
        <v>2.7730850106505397E-3</v>
      </c>
      <c r="D98">
        <v>-9.1284478709317222E-3</v>
      </c>
      <c r="E98">
        <v>-6.793427556554205E-3</v>
      </c>
    </row>
    <row r="99" spans="1:5" x14ac:dyDescent="0.2">
      <c r="A99" s="16">
        <v>37846.395833333336</v>
      </c>
      <c r="B99" t="b">
        <v>0</v>
      </c>
      <c r="C99">
        <v>-1.2812322470338153E-2</v>
      </c>
      <c r="D99">
        <v>-2.9562317327720831E-2</v>
      </c>
      <c r="E99">
        <v>-2.1403888614186209E-3</v>
      </c>
    </row>
    <row r="100" spans="1:5" x14ac:dyDescent="0.2">
      <c r="A100" s="16">
        <v>37868.458333333336</v>
      </c>
      <c r="B100" t="b">
        <v>1</v>
      </c>
      <c r="C100">
        <v>-2.7021353372437443E-2</v>
      </c>
      <c r="D100">
        <v>-1.1236182086132526E-3</v>
      </c>
      <c r="E100">
        <v>4.3317216672291705E-3</v>
      </c>
    </row>
    <row r="101" spans="1:5" x14ac:dyDescent="0.2">
      <c r="A101" s="16">
        <v>37903.458333333336</v>
      </c>
      <c r="B101" t="b">
        <v>1</v>
      </c>
      <c r="C101">
        <v>-1.6810338097528594E-2</v>
      </c>
      <c r="D101">
        <v>-1.1379425011133572E-2</v>
      </c>
      <c r="E101">
        <v>-3.7197075526152366E-3</v>
      </c>
    </row>
    <row r="102" spans="1:5" x14ac:dyDescent="0.2">
      <c r="A102" s="16">
        <v>37931.5</v>
      </c>
      <c r="B102" t="b">
        <v>1</v>
      </c>
      <c r="C102">
        <v>-1.1219554394373468E-2</v>
      </c>
      <c r="D102">
        <v>-1.3621771095476631E-2</v>
      </c>
      <c r="E102">
        <v>-2.1697488683724047E-2</v>
      </c>
    </row>
    <row r="103" spans="1:5" x14ac:dyDescent="0.2">
      <c r="A103" s="16">
        <v>37937.4375</v>
      </c>
      <c r="B103" t="b">
        <v>0</v>
      </c>
      <c r="C103">
        <v>-2.2520532983347193E-3</v>
      </c>
      <c r="D103">
        <v>1.4594413475867011E-2</v>
      </c>
      <c r="E103">
        <v>-4.8395510183528497E-3</v>
      </c>
    </row>
    <row r="104" spans="1:5" x14ac:dyDescent="0.2">
      <c r="A104" s="16">
        <v>37959.5</v>
      </c>
      <c r="B104" t="b">
        <v>1</v>
      </c>
      <c r="C104">
        <v>-1.8489547901765942E-2</v>
      </c>
      <c r="D104">
        <v>2.3452710349947063E-2</v>
      </c>
      <c r="E104">
        <v>3.1200037971493313E-5</v>
      </c>
    </row>
    <row r="105" spans="1:5" x14ac:dyDescent="0.2">
      <c r="A105" s="16">
        <v>37994.5</v>
      </c>
      <c r="B105" t="b">
        <v>1</v>
      </c>
      <c r="C105">
        <v>-3.9523752766071174E-2</v>
      </c>
      <c r="D105">
        <v>3.823549077928895E-3</v>
      </c>
      <c r="E105">
        <v>-4.1960459527176268E-3</v>
      </c>
    </row>
    <row r="106" spans="1:5" x14ac:dyDescent="0.2">
      <c r="A106" s="16">
        <v>38022.5</v>
      </c>
      <c r="B106" t="b">
        <v>1</v>
      </c>
      <c r="C106">
        <v>2.3733753132127583E-2</v>
      </c>
      <c r="D106">
        <v>3.4136661319000609E-2</v>
      </c>
      <c r="E106">
        <v>1.2671975347840661E-2</v>
      </c>
    </row>
    <row r="107" spans="1:5" x14ac:dyDescent="0.2">
      <c r="A107" s="16">
        <v>38028.4375</v>
      </c>
      <c r="B107" t="b">
        <v>0</v>
      </c>
      <c r="C107">
        <v>-9.9384578343408563E-3</v>
      </c>
      <c r="D107">
        <v>-3.997572859032743E-3</v>
      </c>
      <c r="E107">
        <v>7.9308560014468878E-3</v>
      </c>
    </row>
    <row r="108" spans="1:5" x14ac:dyDescent="0.2">
      <c r="A108" s="16">
        <v>38050.5</v>
      </c>
      <c r="B108" t="b">
        <v>1</v>
      </c>
      <c r="C108">
        <v>-2.8252097594131373E-2</v>
      </c>
      <c r="D108">
        <v>-2.4132116706144465E-3</v>
      </c>
      <c r="E108">
        <v>9.5155777268206964E-3</v>
      </c>
    </row>
    <row r="109" spans="1:5" x14ac:dyDescent="0.2">
      <c r="A109" s="16">
        <v>38085.458333333336</v>
      </c>
      <c r="B109" t="b">
        <v>1</v>
      </c>
      <c r="C109">
        <v>-5.1218526888497859E-2</v>
      </c>
      <c r="D109">
        <v>-1.3109987299901928E-2</v>
      </c>
      <c r="E109">
        <v>2.162741617803652E-2</v>
      </c>
    </row>
    <row r="110" spans="1:5" x14ac:dyDescent="0.2">
      <c r="A110" s="16">
        <v>38113.458333333336</v>
      </c>
      <c r="B110" t="b">
        <v>1</v>
      </c>
      <c r="C110">
        <v>1.1108514877789003E-2</v>
      </c>
      <c r="D110">
        <v>3.6357067723080283E-2</v>
      </c>
      <c r="E110">
        <v>8.193979562818374E-3</v>
      </c>
    </row>
    <row r="111" spans="1:5" x14ac:dyDescent="0.2">
      <c r="A111" s="16">
        <v>38119.395833333336</v>
      </c>
      <c r="B111" t="b">
        <v>0</v>
      </c>
      <c r="C111">
        <v>1.9371798471280521E-2</v>
      </c>
      <c r="D111">
        <v>2.0001767464121228E-2</v>
      </c>
      <c r="E111">
        <v>-9.1297143394044634E-3</v>
      </c>
    </row>
    <row r="112" spans="1:5" x14ac:dyDescent="0.2">
      <c r="A112" s="16">
        <v>38148.458333333336</v>
      </c>
      <c r="B112" t="b">
        <v>1</v>
      </c>
      <c r="C112">
        <v>2.7241878507652362E-2</v>
      </c>
      <c r="D112">
        <v>-1.5537910005144611E-2</v>
      </c>
      <c r="E112">
        <v>-8.9665608800064585E-3</v>
      </c>
    </row>
    <row r="113" spans="1:5" x14ac:dyDescent="0.2">
      <c r="A113" s="16">
        <v>38176.458333333336</v>
      </c>
      <c r="B113" t="b">
        <v>1</v>
      </c>
      <c r="C113">
        <v>-2.62420788104132E-2</v>
      </c>
      <c r="D113">
        <v>1.3850368529645565E-2</v>
      </c>
      <c r="E113">
        <v>7.0077974056447674E-3</v>
      </c>
    </row>
    <row r="114" spans="1:5" x14ac:dyDescent="0.2">
      <c r="A114" s="16">
        <v>38204.458333333336</v>
      </c>
      <c r="B114" t="b">
        <v>1</v>
      </c>
      <c r="C114">
        <v>-2.7884461042347968E-2</v>
      </c>
      <c r="D114">
        <v>-1.0732752564578037E-2</v>
      </c>
      <c r="E114">
        <v>2.4931809016448363E-3</v>
      </c>
    </row>
    <row r="115" spans="1:5" x14ac:dyDescent="0.2">
      <c r="A115" s="16">
        <v>38210.395833333336</v>
      </c>
      <c r="B115" t="b">
        <v>0</v>
      </c>
      <c r="C115">
        <v>-1.0132380516097397E-2</v>
      </c>
      <c r="D115">
        <v>-2.2237234716065138E-3</v>
      </c>
      <c r="E115">
        <v>-1.517729291437791E-2</v>
      </c>
    </row>
    <row r="116" spans="1:5" x14ac:dyDescent="0.2">
      <c r="A116" s="16">
        <v>38239.458333333336</v>
      </c>
      <c r="B116" t="b">
        <v>1</v>
      </c>
      <c r="C116">
        <v>6.9152054617371516E-5</v>
      </c>
      <c r="D116">
        <v>-2.6053767260160376E-3</v>
      </c>
      <c r="E116">
        <v>8.166932109846982E-4</v>
      </c>
    </row>
    <row r="117" spans="1:5" x14ac:dyDescent="0.2">
      <c r="A117" s="16">
        <v>38267.458333333336</v>
      </c>
      <c r="B117" t="b">
        <v>1</v>
      </c>
      <c r="C117">
        <v>-6.9682364253733321E-3</v>
      </c>
      <c r="D117">
        <v>2.4563296050057744E-3</v>
      </c>
      <c r="E117">
        <v>-1.0539965505549586E-3</v>
      </c>
    </row>
    <row r="118" spans="1:5" x14ac:dyDescent="0.2">
      <c r="A118" s="16">
        <v>38295.5</v>
      </c>
      <c r="B118" t="b">
        <v>1</v>
      </c>
      <c r="C118">
        <v>-9.9721235049952985E-3</v>
      </c>
      <c r="D118">
        <v>3.9867052604164576E-3</v>
      </c>
      <c r="E118">
        <v>-3.5877051595758248E-3</v>
      </c>
    </row>
    <row r="119" spans="1:5" x14ac:dyDescent="0.2">
      <c r="A119" s="16">
        <v>38301.4375</v>
      </c>
      <c r="B119" t="b">
        <v>0</v>
      </c>
      <c r="C119">
        <v>-3.927875835435677E-2</v>
      </c>
      <c r="D119">
        <v>-6.6515332885196343E-2</v>
      </c>
      <c r="E119">
        <v>-3.2612392126929922E-2</v>
      </c>
    </row>
    <row r="120" spans="1:5" x14ac:dyDescent="0.2">
      <c r="A120" s="16">
        <v>38330.5</v>
      </c>
      <c r="B120" t="b">
        <v>1</v>
      </c>
      <c r="C120">
        <v>-2.6123533614484181E-3</v>
      </c>
      <c r="D120">
        <v>1.6516019841918284E-3</v>
      </c>
      <c r="E120">
        <v>-1.7926755649672499E-2</v>
      </c>
    </row>
    <row r="121" spans="1:5" x14ac:dyDescent="0.2">
      <c r="A121" s="16">
        <v>38365.5</v>
      </c>
      <c r="B121" t="b">
        <v>1</v>
      </c>
      <c r="C121">
        <v>1.5478640202611534E-3</v>
      </c>
      <c r="D121">
        <v>6.6038455999164929E-3</v>
      </c>
      <c r="E121">
        <v>-3.228036790448671E-3</v>
      </c>
    </row>
    <row r="122" spans="1:5" x14ac:dyDescent="0.2">
      <c r="A122" s="16">
        <v>38393.5</v>
      </c>
      <c r="B122" t="b">
        <v>1</v>
      </c>
      <c r="C122">
        <v>-1.1254284689973165E-2</v>
      </c>
      <c r="D122">
        <v>4.1028530216804613E-3</v>
      </c>
      <c r="E122">
        <v>1.6123213574451433E-3</v>
      </c>
    </row>
    <row r="123" spans="1:5" x14ac:dyDescent="0.2">
      <c r="A123" s="16">
        <v>38399.4375</v>
      </c>
      <c r="B123" t="b">
        <v>0</v>
      </c>
      <c r="C123">
        <v>-4.0241134259614224E-2</v>
      </c>
      <c r="D123">
        <v>-3.3611051974971211E-2</v>
      </c>
      <c r="E123">
        <v>-1.9947402378386738E-2</v>
      </c>
    </row>
    <row r="124" spans="1:5" x14ac:dyDescent="0.2">
      <c r="A124" s="16">
        <v>38421.5</v>
      </c>
      <c r="B124" t="b">
        <v>1</v>
      </c>
      <c r="C124">
        <v>-5.378210113853208E-2</v>
      </c>
      <c r="D124">
        <v>3.7331718476191207E-3</v>
      </c>
      <c r="E124">
        <v>2.8073206227505931E-3</v>
      </c>
    </row>
    <row r="125" spans="1:5" x14ac:dyDescent="0.2">
      <c r="A125" s="16">
        <v>38449.458333333336</v>
      </c>
      <c r="B125" t="b">
        <v>1</v>
      </c>
      <c r="C125">
        <v>-1.0639493321080601E-2</v>
      </c>
      <c r="D125">
        <v>1.6701144213201465E-2</v>
      </c>
      <c r="E125">
        <v>-3.1286917048603813E-3</v>
      </c>
    </row>
    <row r="126" spans="1:5" x14ac:dyDescent="0.2">
      <c r="A126" s="16">
        <v>38481.458333333336</v>
      </c>
      <c r="B126" t="b">
        <v>1</v>
      </c>
      <c r="C126">
        <v>-9.2603218526960181E-3</v>
      </c>
      <c r="D126">
        <v>-4.8376355855917182E-3</v>
      </c>
      <c r="E126">
        <v>3.9228123319E-3</v>
      </c>
    </row>
    <row r="127" spans="1:5" x14ac:dyDescent="0.2">
      <c r="A127" s="16">
        <v>38483.395833333336</v>
      </c>
      <c r="B127" t="b">
        <v>0</v>
      </c>
      <c r="C127">
        <v>-2.1761165875469057E-2</v>
      </c>
      <c r="D127">
        <v>-4.2570510261460234E-2</v>
      </c>
      <c r="E127">
        <v>-1.5371350116414134E-2</v>
      </c>
    </row>
    <row r="128" spans="1:5" x14ac:dyDescent="0.2">
      <c r="A128" s="16">
        <v>38512.458333333336</v>
      </c>
      <c r="B128" t="b">
        <v>1</v>
      </c>
      <c r="C128">
        <v>1.8664743341734102E-3</v>
      </c>
      <c r="D128">
        <v>-5.7397138825719344E-3</v>
      </c>
      <c r="E128">
        <v>-6.4470532392176148E-3</v>
      </c>
    </row>
    <row r="129" spans="1:5" x14ac:dyDescent="0.2">
      <c r="A129" s="16">
        <v>38540.458333333336</v>
      </c>
      <c r="B129" t="b">
        <v>1</v>
      </c>
      <c r="C129">
        <v>5.441096558535511E-2</v>
      </c>
      <c r="D129">
        <v>-2.1961270607629398E-3</v>
      </c>
      <c r="E129">
        <v>5.0836699352075874E-3</v>
      </c>
    </row>
    <row r="130" spans="1:5" x14ac:dyDescent="0.2">
      <c r="A130" s="16">
        <v>38568.458333333336</v>
      </c>
      <c r="B130" t="b">
        <v>1</v>
      </c>
      <c r="C130">
        <v>-1.972111751669578E-2</v>
      </c>
      <c r="D130">
        <v>2.0456983634174714E-2</v>
      </c>
      <c r="E130">
        <v>1.2375444418603267E-3</v>
      </c>
    </row>
    <row r="131" spans="1:5" x14ac:dyDescent="0.2">
      <c r="A131" s="16">
        <v>38574.395833333336</v>
      </c>
      <c r="B131" t="b">
        <v>0</v>
      </c>
      <c r="C131">
        <v>2.8139989815289059E-2</v>
      </c>
      <c r="D131">
        <v>4.9516483665537743E-2</v>
      </c>
      <c r="E131">
        <v>1.0175317545783668E-2</v>
      </c>
    </row>
    <row r="132" spans="1:5" x14ac:dyDescent="0.2">
      <c r="A132" s="16">
        <v>38603.458333333336</v>
      </c>
      <c r="B132" t="b">
        <v>1</v>
      </c>
      <c r="C132">
        <v>-1.8657249540186894E-3</v>
      </c>
      <c r="D132">
        <v>-4.143731919103217E-5</v>
      </c>
      <c r="E132">
        <v>-1.3629515823861061E-2</v>
      </c>
    </row>
    <row r="133" spans="1:5" x14ac:dyDescent="0.2">
      <c r="A133" s="16">
        <v>38631.458333333336</v>
      </c>
      <c r="B133" t="b">
        <v>1</v>
      </c>
      <c r="C133">
        <v>3.8630882931330249E-5</v>
      </c>
      <c r="D133">
        <v>-2.7525037896474233E-3</v>
      </c>
      <c r="E133">
        <v>3.1443965987549504E-3</v>
      </c>
    </row>
    <row r="134" spans="1:5" x14ac:dyDescent="0.2">
      <c r="A134" s="16">
        <v>38666.5</v>
      </c>
      <c r="B134" t="b">
        <v>1</v>
      </c>
      <c r="C134">
        <v>1.0951126311757634E-3</v>
      </c>
      <c r="D134">
        <v>-2.9828759741426908E-3</v>
      </c>
      <c r="E134">
        <v>-2.5169427889250729E-4</v>
      </c>
    </row>
    <row r="135" spans="1:5" x14ac:dyDescent="0.2">
      <c r="A135" s="16">
        <v>38672.4375</v>
      </c>
      <c r="B135" t="b">
        <v>0</v>
      </c>
      <c r="C135">
        <v>-1.0870005269740131E-3</v>
      </c>
      <c r="D135">
        <v>-1.8387051690858719E-2</v>
      </c>
      <c r="E135">
        <v>-1.1965708337208352E-2</v>
      </c>
    </row>
    <row r="136" spans="1:5" x14ac:dyDescent="0.2">
      <c r="A136" s="16">
        <v>38694.5</v>
      </c>
      <c r="B136" t="b">
        <v>1</v>
      </c>
      <c r="C136">
        <v>-2.4172187198010319E-4</v>
      </c>
      <c r="D136">
        <v>1.0668343266276128E-3</v>
      </c>
      <c r="E136">
        <v>-2.0167822818464814E-3</v>
      </c>
    </row>
    <row r="137" spans="1:5" x14ac:dyDescent="0.2">
      <c r="A137" s="16">
        <v>38729.5</v>
      </c>
      <c r="B137" t="b">
        <v>1</v>
      </c>
      <c r="C137">
        <v>7.1354577447183161E-3</v>
      </c>
      <c r="D137">
        <v>2.4501763632626635E-3</v>
      </c>
      <c r="E137">
        <v>-1.5671279838055413E-2</v>
      </c>
    </row>
    <row r="138" spans="1:5" x14ac:dyDescent="0.2">
      <c r="A138" s="16">
        <v>38757.5</v>
      </c>
      <c r="B138" t="b">
        <v>1</v>
      </c>
      <c r="C138">
        <v>1.1124104663710754E-2</v>
      </c>
      <c r="D138">
        <v>-1.9243824127983646E-4</v>
      </c>
      <c r="E138">
        <v>-6.6326674676936877E-3</v>
      </c>
    </row>
    <row r="139" spans="1:5" x14ac:dyDescent="0.2">
      <c r="A139" s="16">
        <v>38763.4375</v>
      </c>
      <c r="B139" t="b">
        <v>0</v>
      </c>
      <c r="C139">
        <v>3.6255165962656814E-2</v>
      </c>
      <c r="D139">
        <v>8.3854539588411169E-3</v>
      </c>
      <c r="E139">
        <v>1.2818564615605814E-2</v>
      </c>
    </row>
    <row r="140" spans="1:5" x14ac:dyDescent="0.2">
      <c r="A140" s="16">
        <v>38785.5</v>
      </c>
      <c r="B140" t="b">
        <v>1</v>
      </c>
      <c r="C140">
        <v>3.6042283037346855E-4</v>
      </c>
      <c r="D140">
        <v>-5.8919848202427499E-3</v>
      </c>
      <c r="E140">
        <v>7.8974903991182194E-3</v>
      </c>
    </row>
    <row r="141" spans="1:5" x14ac:dyDescent="0.2">
      <c r="A141" s="16">
        <v>38813.458333333336</v>
      </c>
      <c r="B141" t="b">
        <v>1</v>
      </c>
      <c r="C141">
        <v>-5.976474628360724E-4</v>
      </c>
      <c r="D141">
        <v>-1.5786818613028341E-4</v>
      </c>
      <c r="E141">
        <v>1.0119620943150196E-2</v>
      </c>
    </row>
    <row r="142" spans="1:5" x14ac:dyDescent="0.2">
      <c r="A142" s="16">
        <v>38841.458333333336</v>
      </c>
      <c r="B142" t="b">
        <v>1</v>
      </c>
      <c r="C142">
        <v>-1.1374412512619788E-3</v>
      </c>
      <c r="D142">
        <v>1.3179190172629949E-2</v>
      </c>
      <c r="E142">
        <v>-1.8541370087549362E-2</v>
      </c>
    </row>
    <row r="143" spans="1:5" x14ac:dyDescent="0.2">
      <c r="A143" s="16">
        <v>38847.395833333336</v>
      </c>
      <c r="B143" t="b">
        <v>0</v>
      </c>
      <c r="C143">
        <v>-2.063153885534149E-2</v>
      </c>
      <c r="D143">
        <v>-2.329697064949727E-3</v>
      </c>
      <c r="E143">
        <v>-1.0054364290470115E-2</v>
      </c>
    </row>
    <row r="144" spans="1:5" x14ac:dyDescent="0.2">
      <c r="A144" s="16">
        <v>38876.458333333336</v>
      </c>
      <c r="B144" t="b">
        <v>1</v>
      </c>
      <c r="C144">
        <v>-2.32611593073777E-3</v>
      </c>
      <c r="D144">
        <v>6.1064202604023598E-3</v>
      </c>
      <c r="E144">
        <v>-7.9319149272226108E-5</v>
      </c>
    </row>
    <row r="145" spans="1:5" x14ac:dyDescent="0.2">
      <c r="A145" s="16">
        <v>38904.458333333336</v>
      </c>
      <c r="B145" t="b">
        <v>1</v>
      </c>
      <c r="C145">
        <v>-1.6367636958946165E-4</v>
      </c>
      <c r="D145">
        <v>3.011090964135551E-3</v>
      </c>
      <c r="E145">
        <v>-3.9035729103383174E-3</v>
      </c>
    </row>
    <row r="146" spans="1:5" x14ac:dyDescent="0.2">
      <c r="A146" s="16">
        <v>38932.458333333336</v>
      </c>
      <c r="B146" t="b">
        <v>1</v>
      </c>
      <c r="C146">
        <v>0.1311668212805443</v>
      </c>
      <c r="D146">
        <v>2.3132644204561091E-2</v>
      </c>
      <c r="E146">
        <v>1.0429247812899731E-2</v>
      </c>
    </row>
    <row r="147" spans="1:5" x14ac:dyDescent="0.2">
      <c r="A147" s="16">
        <v>38938.395833333336</v>
      </c>
      <c r="B147" t="b">
        <v>0</v>
      </c>
      <c r="C147">
        <v>-9.2993254494477297E-3</v>
      </c>
      <c r="D147">
        <v>-8.6302943801030516E-3</v>
      </c>
      <c r="E147">
        <v>-1.3738192700836167E-2</v>
      </c>
    </row>
    <row r="148" spans="1:5" x14ac:dyDescent="0.2">
      <c r="A148" s="16">
        <v>38967.458333333336</v>
      </c>
      <c r="B148" t="b">
        <v>1</v>
      </c>
      <c r="C148">
        <v>-8.0087673441029596E-3</v>
      </c>
      <c r="D148">
        <v>2.4651716576577012E-3</v>
      </c>
      <c r="E148">
        <v>2.4193381215510488E-3</v>
      </c>
    </row>
    <row r="149" spans="1:5" x14ac:dyDescent="0.2">
      <c r="A149" s="16">
        <v>38995.458333333336</v>
      </c>
      <c r="B149" t="b">
        <v>1</v>
      </c>
      <c r="C149">
        <v>-3.7193062244380154E-2</v>
      </c>
      <c r="D149">
        <v>-2.0954617245117133E-2</v>
      </c>
      <c r="E149">
        <v>-9.2457806689852824E-3</v>
      </c>
    </row>
    <row r="150" spans="1:5" x14ac:dyDescent="0.2">
      <c r="A150" s="16">
        <v>39030.5</v>
      </c>
      <c r="B150" t="b">
        <v>1</v>
      </c>
      <c r="C150">
        <v>-1.498220732561037E-3</v>
      </c>
      <c r="D150">
        <v>-5.6780797691329691E-3</v>
      </c>
      <c r="E150">
        <v>-5.739613713237759E-3</v>
      </c>
    </row>
    <row r="151" spans="1:5" x14ac:dyDescent="0.2">
      <c r="A151" s="16">
        <v>39036.4375</v>
      </c>
      <c r="B151" t="b">
        <v>0</v>
      </c>
      <c r="C151">
        <v>-1.0899834205230908E-2</v>
      </c>
      <c r="D151">
        <v>-4.0866477769392381E-2</v>
      </c>
      <c r="E151">
        <v>-2.2600844597225689E-3</v>
      </c>
    </row>
    <row r="152" spans="1:5" x14ac:dyDescent="0.2">
      <c r="A152" s="16">
        <v>39058.5</v>
      </c>
      <c r="B152" t="b">
        <v>1</v>
      </c>
      <c r="C152">
        <v>9.5312933935194451E-5</v>
      </c>
      <c r="D152">
        <v>-1.2953344986540041E-3</v>
      </c>
      <c r="E152">
        <v>1.7070691954722752E-3</v>
      </c>
    </row>
    <row r="153" spans="1:5" x14ac:dyDescent="0.2">
      <c r="A153" s="16">
        <v>39093.5</v>
      </c>
      <c r="B153" t="b">
        <v>1</v>
      </c>
      <c r="C153">
        <v>0.16623209894060123</v>
      </c>
      <c r="D153">
        <v>7.8029984259970564E-3</v>
      </c>
      <c r="E153">
        <v>1.8894393548067882E-2</v>
      </c>
    </row>
    <row r="154" spans="1:5" x14ac:dyDescent="0.2">
      <c r="A154" s="16">
        <v>39121.5</v>
      </c>
      <c r="B154" t="b">
        <v>1</v>
      </c>
      <c r="C154">
        <v>-5.2475083904926605E-2</v>
      </c>
      <c r="D154">
        <v>-2.3087765545528227E-3</v>
      </c>
      <c r="E154">
        <v>9.3155293232801101E-4</v>
      </c>
    </row>
    <row r="155" spans="1:5" x14ac:dyDescent="0.2">
      <c r="A155" s="16">
        <v>39127.4375</v>
      </c>
      <c r="B155" t="b">
        <v>0</v>
      </c>
      <c r="C155">
        <v>3.9598125249165478E-3</v>
      </c>
      <c r="D155">
        <v>-7.7721387242599017E-3</v>
      </c>
      <c r="E155">
        <v>1.0127855528673096E-2</v>
      </c>
    </row>
    <row r="156" spans="1:5" x14ac:dyDescent="0.2">
      <c r="A156" s="16">
        <v>39149.5</v>
      </c>
      <c r="B156" t="b">
        <v>1</v>
      </c>
      <c r="C156">
        <v>-3.8402357200735052E-2</v>
      </c>
      <c r="D156">
        <v>1.202998157296163E-2</v>
      </c>
      <c r="E156">
        <v>-2.130025340196282E-3</v>
      </c>
    </row>
    <row r="157" spans="1:5" x14ac:dyDescent="0.2">
      <c r="A157" s="16">
        <v>39177.458333333336</v>
      </c>
      <c r="B157" t="b">
        <v>1</v>
      </c>
      <c r="C157">
        <v>-4.8444865077817867E-2</v>
      </c>
      <c r="D157">
        <v>1.562093251066842E-2</v>
      </c>
      <c r="E157">
        <v>-5.4358556474612746E-3</v>
      </c>
    </row>
    <row r="158" spans="1:5" x14ac:dyDescent="0.2">
      <c r="A158" s="16">
        <v>39212.458333333336</v>
      </c>
      <c r="B158" t="b">
        <v>1</v>
      </c>
      <c r="C158">
        <v>-5.6584475793524519E-4</v>
      </c>
      <c r="D158">
        <v>1.2454845008332703E-2</v>
      </c>
      <c r="E158">
        <v>6.0246014869540891E-3</v>
      </c>
    </row>
    <row r="159" spans="1:5" x14ac:dyDescent="0.2">
      <c r="A159" s="16">
        <v>39218.395833333336</v>
      </c>
      <c r="B159" t="b">
        <v>0</v>
      </c>
      <c r="C159">
        <v>1.409200726338744E-2</v>
      </c>
      <c r="D159">
        <v>1.3516266862577994E-2</v>
      </c>
      <c r="E159">
        <v>2.6362865177008382E-3</v>
      </c>
    </row>
    <row r="160" spans="1:5" x14ac:dyDescent="0.2">
      <c r="A160" s="16">
        <v>39240.458333333336</v>
      </c>
      <c r="B160" t="b">
        <v>1</v>
      </c>
      <c r="C160">
        <v>-3.70626782981862E-2</v>
      </c>
      <c r="D160">
        <v>1.7067324700347272E-2</v>
      </c>
      <c r="E160">
        <v>3.967185261371688E-3</v>
      </c>
    </row>
    <row r="161" spans="1:5" x14ac:dyDescent="0.2">
      <c r="A161" s="16">
        <v>39268.458333333336</v>
      </c>
      <c r="B161" t="b">
        <v>1</v>
      </c>
      <c r="C161">
        <v>1.1009994107901695E-2</v>
      </c>
      <c r="D161">
        <v>1.0707669772817837E-2</v>
      </c>
      <c r="E161">
        <v>4.9403995463859303E-3</v>
      </c>
    </row>
    <row r="162" spans="1:5" x14ac:dyDescent="0.2">
      <c r="A162" s="16">
        <v>39296.458333333336</v>
      </c>
      <c r="B162" t="b">
        <v>1</v>
      </c>
      <c r="C162">
        <v>-8.4641587499670861E-3</v>
      </c>
      <c r="D162">
        <v>1.252286595582042E-2</v>
      </c>
      <c r="E162">
        <v>-5.6003352379474357E-3</v>
      </c>
    </row>
    <row r="163" spans="1:5" x14ac:dyDescent="0.2">
      <c r="A163" s="16">
        <v>39302.395833333336</v>
      </c>
      <c r="B163" t="b">
        <v>0</v>
      </c>
      <c r="C163">
        <v>4.2308239349095255E-3</v>
      </c>
      <c r="D163">
        <v>-6.2527008346032285E-3</v>
      </c>
      <c r="E163">
        <v>1.3855734273538131E-2</v>
      </c>
    </row>
    <row r="164" spans="1:5" x14ac:dyDescent="0.2">
      <c r="A164" s="16">
        <v>39331.458333333336</v>
      </c>
      <c r="B164" t="b">
        <v>1</v>
      </c>
      <c r="C164">
        <v>6.3508575817637159E-3</v>
      </c>
      <c r="D164">
        <v>-5.5905334712913347E-2</v>
      </c>
      <c r="E164">
        <v>-2.7132062175726584E-3</v>
      </c>
    </row>
    <row r="165" spans="1:5" x14ac:dyDescent="0.2">
      <c r="A165" s="16">
        <v>39359.458333333336</v>
      </c>
      <c r="B165" t="b">
        <v>1</v>
      </c>
      <c r="C165">
        <v>5.6330528322167492E-2</v>
      </c>
      <c r="D165">
        <v>-3.0463141047868861E-2</v>
      </c>
      <c r="E165">
        <v>-9.9049447102244996E-3</v>
      </c>
    </row>
    <row r="166" spans="1:5" x14ac:dyDescent="0.2">
      <c r="A166" s="16">
        <v>39394.5</v>
      </c>
      <c r="B166" t="b">
        <v>1</v>
      </c>
      <c r="C166">
        <v>4.9802843121047158E-2</v>
      </c>
      <c r="D166">
        <v>-2.2145745774181651E-2</v>
      </c>
      <c r="E166">
        <v>-5.6280556000773106E-3</v>
      </c>
    </row>
    <row r="167" spans="1:5" x14ac:dyDescent="0.2">
      <c r="A167" s="16">
        <v>39400.4375</v>
      </c>
      <c r="B167" t="b">
        <v>0</v>
      </c>
      <c r="C167">
        <v>-6.5674348590289131E-2</v>
      </c>
      <c r="D167">
        <v>-5.5107628485999316E-2</v>
      </c>
      <c r="E167">
        <v>-5.6289084447208385E-3</v>
      </c>
    </row>
    <row r="168" spans="1:5" x14ac:dyDescent="0.2">
      <c r="A168" s="16">
        <v>39422.5</v>
      </c>
      <c r="B168" t="b">
        <v>1</v>
      </c>
      <c r="C168">
        <v>4.7215187795174356E-2</v>
      </c>
      <c r="D168">
        <v>-3.2917785387402742E-3</v>
      </c>
      <c r="E168">
        <v>-7.4981091359601244E-3</v>
      </c>
    </row>
    <row r="169" spans="1:5" x14ac:dyDescent="0.2">
      <c r="A169" s="16">
        <v>39457.5</v>
      </c>
      <c r="B169" t="b">
        <v>1</v>
      </c>
      <c r="C169">
        <v>6.0783668974605215E-2</v>
      </c>
      <c r="D169">
        <v>-4.0796596792100501E-2</v>
      </c>
      <c r="E169">
        <v>4.6673741639415688E-3</v>
      </c>
    </row>
    <row r="170" spans="1:5" x14ac:dyDescent="0.2">
      <c r="A170" s="16">
        <v>39485.5</v>
      </c>
      <c r="B170" t="b">
        <v>1</v>
      </c>
      <c r="C170">
        <v>6.7728765643724556E-2</v>
      </c>
      <c r="D170">
        <v>-3.9139270277878627E-2</v>
      </c>
      <c r="E170">
        <v>7.2298132134935474E-3</v>
      </c>
    </row>
    <row r="171" spans="1:5" x14ac:dyDescent="0.2">
      <c r="A171" s="16">
        <v>39491.4375</v>
      </c>
      <c r="B171" t="b">
        <v>0</v>
      </c>
      <c r="C171">
        <v>3.1444165546308876E-2</v>
      </c>
      <c r="D171">
        <v>4.9542066784997778E-2</v>
      </c>
      <c r="E171">
        <v>-1.3185876794547533E-2</v>
      </c>
    </row>
    <row r="172" spans="1:5" x14ac:dyDescent="0.2">
      <c r="A172" s="16">
        <v>39513.5</v>
      </c>
      <c r="B172" t="b">
        <v>1</v>
      </c>
      <c r="C172">
        <v>9.4379077914039152E-3</v>
      </c>
      <c r="D172">
        <v>-1.3283329992354124E-2</v>
      </c>
      <c r="E172">
        <v>7.2125883448921381E-3</v>
      </c>
    </row>
    <row r="173" spans="1:5" x14ac:dyDescent="0.2">
      <c r="A173" s="16">
        <v>39548.458333333336</v>
      </c>
      <c r="B173" t="b">
        <v>1</v>
      </c>
      <c r="C173">
        <v>5.3632103553943399E-2</v>
      </c>
      <c r="D173">
        <v>-4.8187634641642302E-2</v>
      </c>
      <c r="E173">
        <v>-1.5600020799020087E-2</v>
      </c>
    </row>
    <row r="174" spans="1:5" x14ac:dyDescent="0.2">
      <c r="A174" s="16">
        <v>39576.458333333336</v>
      </c>
      <c r="B174" t="b">
        <v>1</v>
      </c>
      <c r="C174">
        <v>2.9491681018111445E-2</v>
      </c>
      <c r="D174">
        <v>-3.1452493038454654E-2</v>
      </c>
      <c r="E174">
        <v>6.3916635716946505E-4</v>
      </c>
    </row>
    <row r="175" spans="1:5" x14ac:dyDescent="0.2">
      <c r="A175" s="16">
        <v>39582.395833333336</v>
      </c>
      <c r="B175" t="b">
        <v>0</v>
      </c>
      <c r="C175">
        <v>-6.0737486474507464E-4</v>
      </c>
      <c r="D175">
        <v>4.2882530771118824E-2</v>
      </c>
      <c r="E175">
        <v>-1.1926883058616795E-2</v>
      </c>
    </row>
    <row r="176" spans="1:5" x14ac:dyDescent="0.2">
      <c r="A176" s="16">
        <v>39604.458333333336</v>
      </c>
      <c r="B176" t="b">
        <v>1</v>
      </c>
      <c r="C176">
        <v>5.7791927226614852E-3</v>
      </c>
      <c r="D176">
        <v>-4.5964051598453666E-3</v>
      </c>
      <c r="E176">
        <v>7.1307806588627161E-5</v>
      </c>
    </row>
    <row r="177" spans="1:5" x14ac:dyDescent="0.2">
      <c r="A177" s="16">
        <v>39639.458333333336</v>
      </c>
      <c r="B177" t="b">
        <v>1</v>
      </c>
      <c r="C177">
        <v>1.6112994774079049E-2</v>
      </c>
      <c r="D177">
        <v>2.8252019214232396E-3</v>
      </c>
      <c r="E177">
        <v>1.6129149790910659E-2</v>
      </c>
    </row>
    <row r="178" spans="1:5" x14ac:dyDescent="0.2">
      <c r="A178" s="16">
        <v>39667.458333333336</v>
      </c>
      <c r="B178" t="b">
        <v>1</v>
      </c>
      <c r="C178">
        <v>-2.5452675799494708E-2</v>
      </c>
      <c r="D178">
        <v>-1.3579312796687051E-2</v>
      </c>
      <c r="E178">
        <v>2.3593624572662286E-3</v>
      </c>
    </row>
    <row r="179" spans="1:5" x14ac:dyDescent="0.2">
      <c r="A179" s="16">
        <v>39673.395833333336</v>
      </c>
      <c r="B179" t="b">
        <v>0</v>
      </c>
      <c r="C179">
        <v>-8.438160757100592E-2</v>
      </c>
      <c r="D179">
        <v>-0.14341909065151948</v>
      </c>
      <c r="E179">
        <v>-4.555351577671557E-2</v>
      </c>
    </row>
    <row r="180" spans="1:5" x14ac:dyDescent="0.2">
      <c r="A180" s="16">
        <v>39695.458333333336</v>
      </c>
      <c r="B180" t="b">
        <v>1</v>
      </c>
      <c r="C180">
        <v>1.2825546785313306E-2</v>
      </c>
      <c r="D180">
        <v>9.7578219331400304E-3</v>
      </c>
      <c r="E180">
        <v>-1.4099977497072662E-2</v>
      </c>
    </row>
    <row r="181" spans="1:5" x14ac:dyDescent="0.2">
      <c r="A181" s="16">
        <v>39729.458333333336</v>
      </c>
      <c r="B181" t="b">
        <v>1</v>
      </c>
      <c r="C181">
        <v>8.7494680640997455E-2</v>
      </c>
      <c r="D181">
        <v>-9.4894611909383614E-2</v>
      </c>
      <c r="E181">
        <v>1.4800792032628261E-2</v>
      </c>
    </row>
    <row r="182" spans="1:5" x14ac:dyDescent="0.2">
      <c r="A182" s="16">
        <v>39758.5</v>
      </c>
      <c r="B182" t="b">
        <v>1</v>
      </c>
      <c r="C182">
        <v>-0.42108771478157642</v>
      </c>
      <c r="D182">
        <v>2.6367965686692283E-2</v>
      </c>
      <c r="E182">
        <v>6.8107364965385594E-2</v>
      </c>
    </row>
    <row r="183" spans="1:5" x14ac:dyDescent="0.2">
      <c r="A183" s="16">
        <v>39764.4375</v>
      </c>
      <c r="B183" t="b">
        <v>0</v>
      </c>
      <c r="C183">
        <v>-9.5059603587087066E-2</v>
      </c>
      <c r="D183">
        <v>-4.8095367499487278E-2</v>
      </c>
      <c r="E183">
        <v>-6.9701763377021109E-3</v>
      </c>
    </row>
    <row r="184" spans="1:5" x14ac:dyDescent="0.2">
      <c r="A184" s="16">
        <v>39786.5</v>
      </c>
      <c r="B184" t="b">
        <v>1</v>
      </c>
      <c r="C184">
        <v>0.211553567986004</v>
      </c>
      <c r="D184">
        <v>-6.9707099479409784E-2</v>
      </c>
      <c r="E184">
        <v>2.773856320375423E-2</v>
      </c>
    </row>
    <row r="185" spans="1:5" x14ac:dyDescent="0.2">
      <c r="A185" s="16">
        <v>39821.5</v>
      </c>
      <c r="B185" t="b">
        <v>1</v>
      </c>
      <c r="C185">
        <v>3.5372228099530043E-2</v>
      </c>
      <c r="D185">
        <v>3.8335664804635641E-2</v>
      </c>
      <c r="E185">
        <v>-2.2102703269393741E-2</v>
      </c>
    </row>
    <row r="186" spans="1:5" x14ac:dyDescent="0.2">
      <c r="A186" s="16">
        <v>39849.5</v>
      </c>
      <c r="B186" t="b">
        <v>1</v>
      </c>
      <c r="C186">
        <v>2.4877395107188893E-2</v>
      </c>
      <c r="D186">
        <v>2.2491096941251464E-2</v>
      </c>
      <c r="E186">
        <v>5.8029629270935669E-3</v>
      </c>
    </row>
    <row r="187" spans="1:5" x14ac:dyDescent="0.2">
      <c r="A187" s="16">
        <v>39855.4375</v>
      </c>
      <c r="B187" t="b">
        <v>0</v>
      </c>
      <c r="C187">
        <v>-6.8795997137677131E-2</v>
      </c>
      <c r="D187">
        <v>-5.3858566592112946E-3</v>
      </c>
      <c r="E187">
        <v>-0.13822502111253199</v>
      </c>
    </row>
    <row r="188" spans="1:5" x14ac:dyDescent="0.2">
      <c r="A188" s="16">
        <v>39877.5</v>
      </c>
      <c r="B188" t="b">
        <v>1</v>
      </c>
      <c r="C188">
        <v>4.4209644423612915E-2</v>
      </c>
      <c r="D188">
        <v>8.0361836221108929E-2</v>
      </c>
      <c r="E188">
        <v>-9.1192608638114306E-2</v>
      </c>
    </row>
    <row r="189" spans="1:5" x14ac:dyDescent="0.2">
      <c r="A189" s="16">
        <v>39912.458333333336</v>
      </c>
      <c r="B189" t="b">
        <v>1</v>
      </c>
      <c r="C189">
        <v>1.0384025328105137E-2</v>
      </c>
      <c r="D189">
        <v>-5.8726422717120834E-3</v>
      </c>
      <c r="E189">
        <v>1.3732323946360557E-2</v>
      </c>
    </row>
    <row r="190" spans="1:5" x14ac:dyDescent="0.2">
      <c r="A190" s="16">
        <v>39940.458333333336</v>
      </c>
      <c r="B190" t="b">
        <v>1</v>
      </c>
      <c r="C190">
        <v>-5.3977461552668759E-3</v>
      </c>
      <c r="D190">
        <v>8.5693906344451898E-2</v>
      </c>
      <c r="E190">
        <v>-9.7028475883734977E-2</v>
      </c>
    </row>
    <row r="191" spans="1:5" x14ac:dyDescent="0.2">
      <c r="A191" s="16">
        <v>39946.395833333336</v>
      </c>
      <c r="B191" t="b">
        <v>0</v>
      </c>
      <c r="C191">
        <v>-2.0068735793771924E-2</v>
      </c>
      <c r="D191">
        <v>-4.6003020514585262E-2</v>
      </c>
      <c r="E191">
        <v>-4.1864936867998727E-2</v>
      </c>
    </row>
    <row r="192" spans="1:5" x14ac:dyDescent="0.2">
      <c r="A192" s="16">
        <v>39968.458333333336</v>
      </c>
      <c r="B192" t="b">
        <v>1</v>
      </c>
      <c r="C192">
        <v>-2.1229022099650244E-3</v>
      </c>
      <c r="D192">
        <v>-1.0095321102451652E-2</v>
      </c>
      <c r="E192">
        <v>1.5249450609264454E-2</v>
      </c>
    </row>
    <row r="193" spans="1:5" x14ac:dyDescent="0.2">
      <c r="A193" s="16">
        <v>40003.458333333336</v>
      </c>
      <c r="B193" t="b">
        <v>1</v>
      </c>
      <c r="C193">
        <v>8.9968871742556432E-3</v>
      </c>
      <c r="D193">
        <v>-8.7296948295569762E-2</v>
      </c>
      <c r="E193">
        <v>0.1047490346331794</v>
      </c>
    </row>
    <row r="194" spans="1:5" x14ac:dyDescent="0.2">
      <c r="A194" s="16">
        <v>40031.458333333336</v>
      </c>
      <c r="B194" t="b">
        <v>1</v>
      </c>
      <c r="C194">
        <v>-3.6372418200433305E-2</v>
      </c>
      <c r="D194">
        <v>-0.10505024405225646</v>
      </c>
      <c r="E194">
        <v>-0.13841738319210833</v>
      </c>
    </row>
    <row r="195" spans="1:5" x14ac:dyDescent="0.2">
      <c r="A195" s="16">
        <v>40037.395833333336</v>
      </c>
      <c r="B195" t="b">
        <v>0</v>
      </c>
      <c r="C195">
        <v>-1.6290133356658191E-2</v>
      </c>
      <c r="D195">
        <v>-4.5803975948041364E-2</v>
      </c>
      <c r="E195">
        <v>-1.1882784953026148E-2</v>
      </c>
    </row>
    <row r="196" spans="1:5" x14ac:dyDescent="0.2">
      <c r="A196" s="16">
        <v>40066.458333333336</v>
      </c>
      <c r="B196" t="b">
        <v>1</v>
      </c>
      <c r="C196">
        <v>3.7607925670051334E-2</v>
      </c>
      <c r="D196">
        <v>-2.3328074037439763E-3</v>
      </c>
      <c r="E196">
        <v>-1.6299887996313312E-2</v>
      </c>
    </row>
    <row r="197" spans="1:5" x14ac:dyDescent="0.2">
      <c r="A197" s="16">
        <v>40094.458333333336</v>
      </c>
      <c r="B197" t="b">
        <v>1</v>
      </c>
      <c r="C197">
        <v>-2.606797278244569E-3</v>
      </c>
      <c r="D197">
        <v>-6.675774356614946E-5</v>
      </c>
      <c r="E197">
        <v>5.7354254174620698E-3</v>
      </c>
    </row>
    <row r="198" spans="1:5" x14ac:dyDescent="0.2">
      <c r="A198" s="16">
        <v>40122.5</v>
      </c>
      <c r="B198" t="b">
        <v>1</v>
      </c>
      <c r="C198">
        <v>5.3212363832367514E-2</v>
      </c>
      <c r="D198">
        <v>-1.1908884934627516E-2</v>
      </c>
      <c r="E198">
        <v>6.4753976719950701E-2</v>
      </c>
    </row>
    <row r="199" spans="1:5" x14ac:dyDescent="0.2">
      <c r="A199" s="16">
        <v>40128.4375</v>
      </c>
      <c r="B199" t="b">
        <v>0</v>
      </c>
      <c r="C199">
        <v>4.147188936902118E-3</v>
      </c>
      <c r="D199">
        <v>-7.9981321615380671E-2</v>
      </c>
      <c r="E199">
        <v>-3.1766528586596531E-2</v>
      </c>
    </row>
    <row r="200" spans="1:5" x14ac:dyDescent="0.2">
      <c r="A200" s="16">
        <v>40157.5</v>
      </c>
      <c r="B200" t="b">
        <v>1</v>
      </c>
      <c r="C200">
        <v>4.3737882797503054E-3</v>
      </c>
      <c r="D200">
        <v>-1.9510481586631042E-2</v>
      </c>
      <c r="E200">
        <v>3.7439831869170326E-2</v>
      </c>
    </row>
    <row r="201" spans="1:5" x14ac:dyDescent="0.2">
      <c r="A201" s="16">
        <v>40185.5</v>
      </c>
      <c r="B201" t="b">
        <v>1</v>
      </c>
      <c r="C201">
        <v>-3.3041293383679446E-3</v>
      </c>
      <c r="D201">
        <v>6.3821329143455268E-3</v>
      </c>
      <c r="E201">
        <v>1.5311693744483146E-2</v>
      </c>
    </row>
    <row r="202" spans="1:5" x14ac:dyDescent="0.2">
      <c r="A202" s="16">
        <v>40213.5</v>
      </c>
      <c r="B202" t="b">
        <v>1</v>
      </c>
      <c r="C202">
        <v>2.1956086727368193E-2</v>
      </c>
      <c r="D202">
        <v>-5.0686990560977745E-2</v>
      </c>
      <c r="E202">
        <v>6.8828630318819625E-2</v>
      </c>
    </row>
    <row r="203" spans="1:5" x14ac:dyDescent="0.2">
      <c r="A203" s="16">
        <v>40219.4375</v>
      </c>
      <c r="B203" t="b">
        <v>0</v>
      </c>
      <c r="C203">
        <v>3.3831852875577419E-4</v>
      </c>
      <c r="D203">
        <v>-6.1586328228623526E-2</v>
      </c>
      <c r="E203">
        <v>-9.7262151430971874E-2</v>
      </c>
    </row>
    <row r="204" spans="1:5" x14ac:dyDescent="0.2">
      <c r="A204" s="16">
        <v>40241.5</v>
      </c>
      <c r="B204" t="b">
        <v>1</v>
      </c>
      <c r="C204">
        <v>-2.9242151235636788E-3</v>
      </c>
      <c r="D204">
        <v>1.1159846853967072E-2</v>
      </c>
      <c r="E204">
        <v>-7.848868250408883E-3</v>
      </c>
    </row>
    <row r="205" spans="1:5" x14ac:dyDescent="0.2">
      <c r="A205" s="16">
        <v>40276.458333333336</v>
      </c>
      <c r="B205" t="b">
        <v>1</v>
      </c>
      <c r="C205">
        <v>-9.154726920518882E-4</v>
      </c>
      <c r="D205">
        <v>-1.0516132380715826E-2</v>
      </c>
      <c r="E205">
        <v>1.2323095405674406E-3</v>
      </c>
    </row>
    <row r="206" spans="1:5" x14ac:dyDescent="0.2">
      <c r="A206" s="16">
        <v>40308.458333333336</v>
      </c>
      <c r="B206" t="b">
        <v>1</v>
      </c>
      <c r="C206">
        <v>-7.7842970018261615E-3</v>
      </c>
      <c r="D206">
        <v>-5.0991123534549647E-2</v>
      </c>
      <c r="E206">
        <v>3.8704887054718112E-2</v>
      </c>
    </row>
    <row r="207" spans="1:5" x14ac:dyDescent="0.2">
      <c r="A207" s="16">
        <v>40310.395833333336</v>
      </c>
      <c r="B207" t="b">
        <v>0</v>
      </c>
      <c r="C207">
        <v>-1.9842608297936334E-3</v>
      </c>
      <c r="D207">
        <v>-6.3605961938743863E-2</v>
      </c>
      <c r="E207">
        <v>-1.1086091521792438E-2</v>
      </c>
    </row>
    <row r="208" spans="1:5" x14ac:dyDescent="0.2">
      <c r="A208" s="16">
        <v>40339.458333333336</v>
      </c>
      <c r="B208" t="b">
        <v>1</v>
      </c>
      <c r="C208">
        <v>1.3418189696455399E-3</v>
      </c>
      <c r="D208">
        <v>-5.5575282667008237E-3</v>
      </c>
      <c r="E208">
        <v>-8.6723629120071099E-3</v>
      </c>
    </row>
    <row r="209" spans="1:5" x14ac:dyDescent="0.2">
      <c r="A209" s="16">
        <v>40367.458333333336</v>
      </c>
      <c r="B209" t="b">
        <v>1</v>
      </c>
      <c r="C209">
        <v>2.3454114078987577E-4</v>
      </c>
      <c r="D209">
        <v>-2.3425530268973687E-3</v>
      </c>
      <c r="E209">
        <v>3.3280143648574114E-3</v>
      </c>
    </row>
    <row r="210" spans="1:5" x14ac:dyDescent="0.2">
      <c r="A210" s="16">
        <v>40395.458333333336</v>
      </c>
      <c r="B210" t="b">
        <v>1</v>
      </c>
      <c r="C210">
        <v>4.2891086128195652E-4</v>
      </c>
      <c r="D210">
        <v>-3.7713294377666462E-3</v>
      </c>
      <c r="E210">
        <v>5.6963270049732338E-3</v>
      </c>
    </row>
    <row r="211" spans="1:5" x14ac:dyDescent="0.2">
      <c r="A211" s="16">
        <v>40401.395833333336</v>
      </c>
      <c r="B211" t="b">
        <v>0</v>
      </c>
      <c r="C211">
        <v>-9.3738470098569983E-3</v>
      </c>
      <c r="D211">
        <v>-2.0874063980366876E-2</v>
      </c>
      <c r="E211">
        <v>-3.0744277753962462E-2</v>
      </c>
    </row>
    <row r="212" spans="1:5" x14ac:dyDescent="0.2">
      <c r="A212" s="16">
        <v>40430.458333333336</v>
      </c>
      <c r="B212" t="b">
        <v>1</v>
      </c>
      <c r="C212">
        <v>1.1471347634011363E-3</v>
      </c>
      <c r="D212">
        <v>-1.595318028233117E-2</v>
      </c>
      <c r="E212">
        <v>1.6977172924943114E-2</v>
      </c>
    </row>
    <row r="213" spans="1:5" x14ac:dyDescent="0.2">
      <c r="A213" s="16">
        <v>40458.458333333336</v>
      </c>
      <c r="B213" t="b">
        <v>1</v>
      </c>
      <c r="C213">
        <v>9.4954429090401114E-4</v>
      </c>
      <c r="D213">
        <v>-9.4758527243221594E-3</v>
      </c>
      <c r="E213">
        <v>1.3755339246924221E-2</v>
      </c>
    </row>
    <row r="214" spans="1:5" x14ac:dyDescent="0.2">
      <c r="A214" s="16">
        <v>40486.5</v>
      </c>
      <c r="B214" t="b">
        <v>1</v>
      </c>
      <c r="C214">
        <v>1.6018401282874618E-3</v>
      </c>
      <c r="D214">
        <v>2.9406122348541147E-4</v>
      </c>
      <c r="E214">
        <v>7.6769709107915281E-3</v>
      </c>
    </row>
    <row r="215" spans="1:5" x14ac:dyDescent="0.2">
      <c r="A215" s="16">
        <v>40492.4375</v>
      </c>
      <c r="B215" t="b">
        <v>0</v>
      </c>
      <c r="C215">
        <v>-6.9581992179246696E-3</v>
      </c>
      <c r="D215">
        <v>-2.6270674048912918E-3</v>
      </c>
      <c r="E215">
        <v>8.6793750355752916E-2</v>
      </c>
    </row>
    <row r="216" spans="1:5" x14ac:dyDescent="0.2">
      <c r="A216" s="16">
        <v>40521.5</v>
      </c>
      <c r="B216" t="b">
        <v>1</v>
      </c>
      <c r="C216">
        <v>1.9866164898392417E-3</v>
      </c>
      <c r="D216">
        <v>-9.7465135325372054E-3</v>
      </c>
      <c r="E216">
        <v>-1.4473962014495661E-3</v>
      </c>
    </row>
    <row r="217" spans="1:5" x14ac:dyDescent="0.2">
      <c r="A217" s="16">
        <v>40556.5</v>
      </c>
      <c r="B217" t="b">
        <v>1</v>
      </c>
      <c r="C217">
        <v>-9.3779421261713496E-3</v>
      </c>
      <c r="D217">
        <v>5.5338351549613588E-3</v>
      </c>
      <c r="E217">
        <v>1.366519876610589E-2</v>
      </c>
    </row>
    <row r="218" spans="1:5" x14ac:dyDescent="0.2">
      <c r="A218" s="16">
        <v>40584.5</v>
      </c>
      <c r="B218" t="b">
        <v>1</v>
      </c>
      <c r="C218">
        <v>-2.1537354204572864E-2</v>
      </c>
      <c r="D218">
        <v>2.9054093375144606E-2</v>
      </c>
      <c r="E218">
        <v>2.1596710677186583E-2</v>
      </c>
    </row>
    <row r="219" spans="1:5" x14ac:dyDescent="0.2">
      <c r="A219" s="16">
        <v>40590.4375</v>
      </c>
      <c r="B219" t="b">
        <v>0</v>
      </c>
      <c r="C219">
        <v>-2.5649994825710686E-2</v>
      </c>
      <c r="D219">
        <v>4.4532117996124131E-3</v>
      </c>
      <c r="E219">
        <v>-3.1834542931942232E-2</v>
      </c>
    </row>
    <row r="220" spans="1:5" x14ac:dyDescent="0.2">
      <c r="A220" s="16">
        <v>40612.5</v>
      </c>
      <c r="B220" t="b">
        <v>1</v>
      </c>
      <c r="C220">
        <v>-2.7123371520910898E-2</v>
      </c>
      <c r="D220">
        <v>7.507665681685571E-3</v>
      </c>
      <c r="E220">
        <v>-3.1535724605266857E-3</v>
      </c>
    </row>
    <row r="221" spans="1:5" x14ac:dyDescent="0.2">
      <c r="A221" s="16">
        <v>40640.458333333336</v>
      </c>
      <c r="B221" t="b">
        <v>1</v>
      </c>
      <c r="C221">
        <v>-1.81799680235308E-2</v>
      </c>
      <c r="D221">
        <v>-5.7675096104077249E-3</v>
      </c>
      <c r="E221">
        <v>4.7258134706120811E-3</v>
      </c>
    </row>
    <row r="222" spans="1:5" x14ac:dyDescent="0.2">
      <c r="A222" s="16">
        <v>40668.458333333336</v>
      </c>
      <c r="B222" t="b">
        <v>1</v>
      </c>
      <c r="C222">
        <v>-2.5556214997483275E-3</v>
      </c>
      <c r="D222">
        <v>-7.1445982663720271E-3</v>
      </c>
      <c r="E222">
        <v>1.1115597093996146E-2</v>
      </c>
    </row>
    <row r="223" spans="1:5" x14ac:dyDescent="0.2">
      <c r="A223" s="16">
        <v>40674.395833333336</v>
      </c>
      <c r="B223" t="b">
        <v>0</v>
      </c>
      <c r="C223">
        <v>4.4264918137860276E-3</v>
      </c>
      <c r="D223">
        <v>2.0345659290527729E-2</v>
      </c>
      <c r="E223">
        <v>3.6760287965589618E-2</v>
      </c>
    </row>
    <row r="224" spans="1:5" x14ac:dyDescent="0.2">
      <c r="A224" s="16">
        <v>40703.458333333336</v>
      </c>
      <c r="B224" t="b">
        <v>1</v>
      </c>
      <c r="C224">
        <v>-7.2988684368727256E-5</v>
      </c>
      <c r="D224">
        <v>2.3279890742696225E-3</v>
      </c>
      <c r="E224">
        <v>-2.7438998070159664E-3</v>
      </c>
    </row>
    <row r="225" spans="1:5" x14ac:dyDescent="0.2">
      <c r="A225" s="16">
        <v>40731.458333333336</v>
      </c>
      <c r="B225" t="b">
        <v>1</v>
      </c>
      <c r="C225">
        <v>-2.0304324963839417E-3</v>
      </c>
      <c r="D225">
        <v>4.3050526831485544E-3</v>
      </c>
      <c r="E225">
        <v>-5.7023718603195096E-3</v>
      </c>
    </row>
    <row r="226" spans="1:5" x14ac:dyDescent="0.2">
      <c r="A226" s="16">
        <v>40759.458333333336</v>
      </c>
      <c r="B226" t="b">
        <v>1</v>
      </c>
      <c r="C226">
        <v>5.7783532150692254E-3</v>
      </c>
      <c r="D226">
        <v>1.2927323056455926E-3</v>
      </c>
      <c r="E226">
        <v>-4.3640115074437547E-3</v>
      </c>
    </row>
    <row r="227" spans="1:5" x14ac:dyDescent="0.2">
      <c r="A227" s="16">
        <v>40765.395833333336</v>
      </c>
      <c r="B227" t="b">
        <v>0</v>
      </c>
      <c r="C227">
        <v>1.3283520005532552E-2</v>
      </c>
      <c r="D227">
        <v>5.7127493720563208E-2</v>
      </c>
      <c r="E227">
        <v>-2.5734688060397606E-2</v>
      </c>
    </row>
    <row r="228" spans="1:5" x14ac:dyDescent="0.2">
      <c r="A228" s="16">
        <v>40794.458333333336</v>
      </c>
      <c r="B228" t="b">
        <v>1</v>
      </c>
      <c r="C228">
        <v>3.3708988458032111E-3</v>
      </c>
      <c r="D228">
        <v>8.2668617403280648E-3</v>
      </c>
      <c r="E228">
        <v>1.6657727643417226E-2</v>
      </c>
    </row>
    <row r="229" spans="1:5" x14ac:dyDescent="0.2">
      <c r="A229" s="16">
        <v>40822.458333333336</v>
      </c>
      <c r="B229" t="b">
        <v>1</v>
      </c>
      <c r="C229">
        <v>-2.7196020739924786E-2</v>
      </c>
      <c r="D229">
        <v>5.1092064314056898E-2</v>
      </c>
      <c r="E229">
        <v>-6.6255723700273356E-2</v>
      </c>
    </row>
    <row r="230" spans="1:5" x14ac:dyDescent="0.2">
      <c r="A230" s="16">
        <v>40857.5</v>
      </c>
      <c r="B230" t="b">
        <v>1</v>
      </c>
      <c r="C230">
        <v>1.9546890883244385E-2</v>
      </c>
      <c r="D230">
        <v>-8.0908159960470997E-4</v>
      </c>
      <c r="E230">
        <v>1.953650642961655E-4</v>
      </c>
    </row>
    <row r="231" spans="1:5" x14ac:dyDescent="0.2">
      <c r="A231" s="16">
        <v>40863.4375</v>
      </c>
      <c r="B231" t="b">
        <v>0</v>
      </c>
      <c r="C231">
        <v>-7.7936201734774046E-3</v>
      </c>
      <c r="D231">
        <v>4.4734235304784521E-2</v>
      </c>
      <c r="E231">
        <v>-5.0953058407660609E-2</v>
      </c>
    </row>
    <row r="232" spans="1:5" x14ac:dyDescent="0.2">
      <c r="A232" s="16">
        <v>40885.5</v>
      </c>
      <c r="B232" t="b">
        <v>1</v>
      </c>
      <c r="C232">
        <v>7.8474580772230247E-3</v>
      </c>
      <c r="D232">
        <v>-4.3334118228284813E-3</v>
      </c>
      <c r="E232">
        <v>-1.0768049935602613E-2</v>
      </c>
    </row>
    <row r="233" spans="1:5" x14ac:dyDescent="0.2">
      <c r="A233" s="16">
        <v>40920.5</v>
      </c>
      <c r="B233" t="b">
        <v>1</v>
      </c>
      <c r="C233">
        <v>-9.9473062650251715E-3</v>
      </c>
      <c r="D233">
        <v>1.469640953828784E-2</v>
      </c>
      <c r="E233">
        <v>6.1100503011685776E-3</v>
      </c>
    </row>
    <row r="234" spans="1:5" x14ac:dyDescent="0.2">
      <c r="A234" s="16">
        <v>40948.5</v>
      </c>
      <c r="B234" t="b">
        <v>1</v>
      </c>
      <c r="C234">
        <v>7.1339757635755464E-3</v>
      </c>
      <c r="D234">
        <v>3.2005861498770175E-3</v>
      </c>
      <c r="E234">
        <v>-6.7168916812815702E-3</v>
      </c>
    </row>
    <row r="235" spans="1:5" x14ac:dyDescent="0.2">
      <c r="A235" s="16">
        <v>40954.4375</v>
      </c>
      <c r="B235" t="b">
        <v>0</v>
      </c>
      <c r="C235">
        <v>7.6696910491411336E-4</v>
      </c>
      <c r="D235">
        <v>-9.4958700929331037E-4</v>
      </c>
      <c r="E235">
        <v>8.1040934351977022E-3</v>
      </c>
    </row>
    <row r="236" spans="1:5" x14ac:dyDescent="0.2">
      <c r="A236" s="16">
        <v>40976.5</v>
      </c>
      <c r="B236" t="b">
        <v>1</v>
      </c>
      <c r="C236">
        <v>-1.4203623175022089E-3</v>
      </c>
      <c r="D236">
        <v>2.1886341363761444E-4</v>
      </c>
      <c r="E236">
        <v>9.3644770147263447E-3</v>
      </c>
    </row>
    <row r="237" spans="1:5" x14ac:dyDescent="0.2">
      <c r="A237" s="16">
        <v>41004.458333333336</v>
      </c>
      <c r="B237" t="b">
        <v>1</v>
      </c>
      <c r="C237">
        <v>-1.6806645864238829E-3</v>
      </c>
      <c r="D237">
        <v>1.4149357510784884E-3</v>
      </c>
      <c r="E237">
        <v>7.3386995935959898E-3</v>
      </c>
    </row>
    <row r="238" spans="1:5" x14ac:dyDescent="0.2">
      <c r="A238" s="16">
        <v>41039.458333333336</v>
      </c>
      <c r="B238" t="b">
        <v>1</v>
      </c>
      <c r="C238">
        <v>-5.92244255888794E-4</v>
      </c>
      <c r="D238">
        <v>-1.1672921397715726E-2</v>
      </c>
      <c r="E238">
        <v>2.5712481308250108E-2</v>
      </c>
    </row>
    <row r="239" spans="1:5" x14ac:dyDescent="0.2">
      <c r="A239" s="16">
        <v>41045.395833333336</v>
      </c>
      <c r="B239" t="b">
        <v>0</v>
      </c>
      <c r="C239">
        <v>-2.4287738286650679E-3</v>
      </c>
      <c r="D239">
        <v>2.7921446612708772E-2</v>
      </c>
      <c r="E239">
        <v>-3.9271770509119418E-2</v>
      </c>
    </row>
    <row r="240" spans="1:5" x14ac:dyDescent="0.2">
      <c r="A240" s="16">
        <v>41067.458333333336</v>
      </c>
      <c r="B240" t="b">
        <v>1</v>
      </c>
      <c r="C240">
        <v>9.8966803693941122E-3</v>
      </c>
      <c r="D240">
        <v>-2.2329675524706848E-2</v>
      </c>
      <c r="E240">
        <v>4.5473704615427463E-2</v>
      </c>
    </row>
    <row r="241" spans="1:5" x14ac:dyDescent="0.2">
      <c r="A241" s="16">
        <v>41095.458333333336</v>
      </c>
      <c r="B241" t="b">
        <v>1</v>
      </c>
      <c r="C241">
        <v>2.1722195401809023E-2</v>
      </c>
      <c r="D241">
        <v>-3.1797155030140085E-2</v>
      </c>
      <c r="E241">
        <v>4.9634070257134379E-2</v>
      </c>
    </row>
    <row r="242" spans="1:5" x14ac:dyDescent="0.2">
      <c r="A242" s="16">
        <v>41123.458333333336</v>
      </c>
      <c r="B242" t="b">
        <v>1</v>
      </c>
      <c r="C242">
        <v>8.8190703917385479E-3</v>
      </c>
      <c r="D242">
        <v>1.9553172020838738E-3</v>
      </c>
      <c r="E242">
        <v>-1.5407302031374165E-2</v>
      </c>
    </row>
    <row r="243" spans="1:5" x14ac:dyDescent="0.2">
      <c r="A243" s="16">
        <v>41129.395833333336</v>
      </c>
      <c r="B243" t="b">
        <v>0</v>
      </c>
      <c r="C243">
        <v>4.325379645763585E-2</v>
      </c>
      <c r="D243">
        <v>4.5780730136714617E-2</v>
      </c>
      <c r="E243">
        <v>-2.7564274094108313E-3</v>
      </c>
    </row>
    <row r="244" spans="1:5" x14ac:dyDescent="0.2">
      <c r="A244" s="16">
        <v>41158.458333333336</v>
      </c>
      <c r="B244" t="b">
        <v>1</v>
      </c>
      <c r="C244">
        <v>8.287814942390212E-3</v>
      </c>
      <c r="D244">
        <v>-9.7004519823010241E-3</v>
      </c>
      <c r="E244">
        <v>1.7443219102942127E-3</v>
      </c>
    </row>
    <row r="245" spans="1:5" x14ac:dyDescent="0.2">
      <c r="A245" s="16">
        <v>41186.458333333336</v>
      </c>
      <c r="B245" t="b">
        <v>1</v>
      </c>
      <c r="C245">
        <v>-8.7857214814384592E-4</v>
      </c>
      <c r="D245">
        <v>2.0627209025855741E-3</v>
      </c>
      <c r="E245">
        <v>1.973386016787336E-3</v>
      </c>
    </row>
    <row r="246" spans="1:5" x14ac:dyDescent="0.2">
      <c r="A246" s="16">
        <v>41221.5</v>
      </c>
      <c r="B246" t="b">
        <v>1</v>
      </c>
      <c r="C246">
        <v>9.0487495933574118E-3</v>
      </c>
      <c r="D246">
        <v>-1.3309783751254828E-2</v>
      </c>
      <c r="E246">
        <v>3.0215273245916507E-2</v>
      </c>
    </row>
    <row r="247" spans="1:5" x14ac:dyDescent="0.2">
      <c r="A247" s="16">
        <v>41227.4375</v>
      </c>
      <c r="B247" t="b">
        <v>0</v>
      </c>
      <c r="C247">
        <v>-4.3719550459337406E-3</v>
      </c>
      <c r="D247">
        <v>7.1199391579821218E-3</v>
      </c>
      <c r="E247">
        <v>-1.3119291843384709E-2</v>
      </c>
    </row>
    <row r="248" spans="1:5" x14ac:dyDescent="0.2">
      <c r="A248" s="16">
        <v>41249.5</v>
      </c>
      <c r="B248" t="b">
        <v>1</v>
      </c>
      <c r="C248">
        <v>-2.8872185624761115E-4</v>
      </c>
      <c r="D248">
        <v>3.2696781386244256E-3</v>
      </c>
      <c r="E248">
        <v>-4.6627492219226477E-3</v>
      </c>
    </row>
    <row r="249" spans="1:5" x14ac:dyDescent="0.2">
      <c r="A249" s="16">
        <v>41284.5</v>
      </c>
      <c r="B249" t="b">
        <v>1</v>
      </c>
      <c r="C249">
        <v>-1.0320163618152253E-4</v>
      </c>
      <c r="D249">
        <v>1.0184581355537413E-3</v>
      </c>
      <c r="E249">
        <v>-1.5023232299605331E-3</v>
      </c>
    </row>
    <row r="250" spans="1:5" x14ac:dyDescent="0.2">
      <c r="A250" s="16">
        <v>41312.5</v>
      </c>
      <c r="B250" t="b">
        <v>1</v>
      </c>
      <c r="C250">
        <v>-3.5507292861924325E-3</v>
      </c>
      <c r="D250">
        <v>6.5167902835157566E-3</v>
      </c>
      <c r="E250">
        <v>1.4441368874318749E-2</v>
      </c>
    </row>
    <row r="251" spans="1:5" x14ac:dyDescent="0.2">
      <c r="A251" s="16">
        <v>41318.4375</v>
      </c>
      <c r="B251" t="b">
        <v>0</v>
      </c>
      <c r="C251">
        <v>2.0904802042793626E-3</v>
      </c>
      <c r="D251">
        <v>-2.9165974006430121E-2</v>
      </c>
      <c r="E251">
        <v>4.0046217801668942E-2</v>
      </c>
    </row>
    <row r="252" spans="1:5" x14ac:dyDescent="0.2">
      <c r="A252" s="16">
        <v>41340.5</v>
      </c>
      <c r="B252" t="b">
        <v>1</v>
      </c>
      <c r="C252">
        <v>1.7384616849500965E-2</v>
      </c>
      <c r="D252">
        <v>-2.3341546903428531E-2</v>
      </c>
      <c r="E252">
        <v>3.7296934448877182E-2</v>
      </c>
    </row>
    <row r="253" spans="1:5" x14ac:dyDescent="0.2">
      <c r="A253" s="16">
        <v>41368.458333333336</v>
      </c>
      <c r="B253" t="b">
        <v>1</v>
      </c>
      <c r="C253">
        <v>-2.7325984468590866E-4</v>
      </c>
      <c r="D253">
        <v>3.8543984828377392E-3</v>
      </c>
      <c r="E253">
        <v>3.2825783049897157E-3</v>
      </c>
    </row>
    <row r="254" spans="1:5" x14ac:dyDescent="0.2">
      <c r="A254" s="16">
        <v>41403.458333333336</v>
      </c>
      <c r="B254" t="b">
        <v>1</v>
      </c>
      <c r="C254">
        <v>8.2306777474538198E-3</v>
      </c>
      <c r="D254">
        <v>-8.6143693698545465E-3</v>
      </c>
      <c r="E254">
        <v>3.8130969224417212E-4</v>
      </c>
    </row>
    <row r="255" spans="1:5" x14ac:dyDescent="0.2">
      <c r="A255" s="16">
        <v>41409.395833333336</v>
      </c>
      <c r="B255" t="b">
        <v>0</v>
      </c>
      <c r="C255">
        <v>-1.5120831142311438E-4</v>
      </c>
      <c r="D255">
        <v>-1.4726425282730554E-2</v>
      </c>
      <c r="E255">
        <v>3.5323881871957979E-2</v>
      </c>
    </row>
    <row r="256" spans="1:5" x14ac:dyDescent="0.2">
      <c r="A256" s="16">
        <v>41431.458333333336</v>
      </c>
      <c r="B256" t="b">
        <v>1</v>
      </c>
      <c r="C256">
        <v>1.836378168824242E-3</v>
      </c>
      <c r="D256">
        <v>-2.9072438902814951E-3</v>
      </c>
      <c r="E256">
        <v>-5.0207602377354121E-3</v>
      </c>
    </row>
    <row r="257" spans="1:5" x14ac:dyDescent="0.2">
      <c r="A257" s="16">
        <v>41459.458333333336</v>
      </c>
      <c r="B257" t="b">
        <v>1</v>
      </c>
      <c r="C257">
        <v>-1.5306012978779541E-2</v>
      </c>
      <c r="D257">
        <v>-4.2204894003293719E-2</v>
      </c>
      <c r="E257">
        <v>-6.5183790987404178E-2</v>
      </c>
    </row>
    <row r="258" spans="1:5" x14ac:dyDescent="0.2">
      <c r="A258" s="16">
        <v>41487.458333333336</v>
      </c>
      <c r="B258" t="b">
        <v>1</v>
      </c>
      <c r="C258">
        <v>1.9911181239195028E-2</v>
      </c>
      <c r="D258">
        <v>-8.7917455570988099E-3</v>
      </c>
      <c r="E258">
        <v>1.7126778242392612E-2</v>
      </c>
    </row>
    <row r="259" spans="1:5" x14ac:dyDescent="0.2">
      <c r="A259" s="16">
        <v>41493.395833333336</v>
      </c>
      <c r="B259" t="b">
        <v>0</v>
      </c>
      <c r="C259">
        <v>2.2697604781074889E-3</v>
      </c>
      <c r="D259">
        <v>-9.6241299625347762E-3</v>
      </c>
      <c r="E259">
        <v>3.2727748505049462E-2</v>
      </c>
    </row>
    <row r="260" spans="1:5" x14ac:dyDescent="0.2">
      <c r="A260" s="16">
        <v>41522.458333333336</v>
      </c>
      <c r="B260" t="b">
        <v>1</v>
      </c>
      <c r="C260">
        <v>-1.258172190893141E-3</v>
      </c>
      <c r="D260">
        <v>7.3001446000859017E-3</v>
      </c>
      <c r="E260">
        <v>2.8230675470954633E-2</v>
      </c>
    </row>
    <row r="261" spans="1:5" x14ac:dyDescent="0.2">
      <c r="A261" s="16">
        <v>41557.458333333336</v>
      </c>
      <c r="B261" t="b">
        <v>1</v>
      </c>
      <c r="C261">
        <v>-5.9794570579927266E-4</v>
      </c>
      <c r="D261">
        <v>5.5774598298689053E-3</v>
      </c>
      <c r="E261">
        <v>-8.1597588104602367E-3</v>
      </c>
    </row>
    <row r="262" spans="1:5" x14ac:dyDescent="0.2">
      <c r="A262" s="16">
        <v>41585.5</v>
      </c>
      <c r="B262" t="b">
        <v>1</v>
      </c>
      <c r="C262">
        <v>2.1491683256151923E-6</v>
      </c>
      <c r="D262">
        <v>-1.804914935171868E-4</v>
      </c>
      <c r="E262">
        <v>2.2543503799673774E-4</v>
      </c>
    </row>
    <row r="263" spans="1:5" x14ac:dyDescent="0.2">
      <c r="A263" s="16">
        <v>41591.4375</v>
      </c>
      <c r="B263" t="b">
        <v>0</v>
      </c>
      <c r="C263">
        <v>-1.5630372037714988E-3</v>
      </c>
      <c r="D263">
        <v>-2.5147564650088772E-2</v>
      </c>
      <c r="E263">
        <v>2.9681656401912556E-2</v>
      </c>
    </row>
    <row r="264" spans="1:5" x14ac:dyDescent="0.2">
      <c r="A264" s="16">
        <v>41613.5</v>
      </c>
      <c r="B264" t="b">
        <v>1</v>
      </c>
      <c r="C264">
        <v>3.3737309548586497E-3</v>
      </c>
      <c r="D264">
        <v>-1.9077317644022419E-2</v>
      </c>
      <c r="E264">
        <v>1.8177292541674647E-2</v>
      </c>
    </row>
    <row r="265" spans="1:5" x14ac:dyDescent="0.2">
      <c r="A265" s="16">
        <v>41648.5</v>
      </c>
      <c r="B265" t="b">
        <v>1</v>
      </c>
      <c r="C265">
        <v>3.7753299081974242E-4</v>
      </c>
      <c r="D265">
        <v>-1.5954637480923125E-2</v>
      </c>
      <c r="E265">
        <v>-7.0844173684735303E-3</v>
      </c>
    </row>
    <row r="266" spans="1:5" x14ac:dyDescent="0.2">
      <c r="A266" s="16">
        <v>41676.5</v>
      </c>
      <c r="B266" t="b">
        <v>1</v>
      </c>
      <c r="C266">
        <v>-1.8966620308287594E-3</v>
      </c>
      <c r="D266">
        <v>7.2462184618398697E-3</v>
      </c>
      <c r="E266">
        <v>4.5946065017743679E-3</v>
      </c>
    </row>
    <row r="267" spans="1:5" x14ac:dyDescent="0.2">
      <c r="A267" s="16">
        <v>41682.4375</v>
      </c>
      <c r="B267" t="b">
        <v>0</v>
      </c>
      <c r="C267">
        <v>1.3146863929415348E-3</v>
      </c>
      <c r="D267">
        <v>-1.9075045435736685E-2</v>
      </c>
      <c r="E267">
        <v>2.4867550692982833E-2</v>
      </c>
    </row>
    <row r="268" spans="1:5" x14ac:dyDescent="0.2">
      <c r="A268" s="16">
        <v>41704.5</v>
      </c>
      <c r="B268" t="b">
        <v>1</v>
      </c>
      <c r="C268">
        <v>1.9311113635726742E-3</v>
      </c>
      <c r="D268">
        <v>-5.4957383334531271E-3</v>
      </c>
      <c r="E268">
        <v>-1.716363554584937E-3</v>
      </c>
    </row>
    <row r="269" spans="1:5" x14ac:dyDescent="0.2">
      <c r="A269" s="16">
        <v>41739.458333333336</v>
      </c>
      <c r="B269" t="b">
        <v>1</v>
      </c>
      <c r="C269">
        <v>8.4945262122775424E-4</v>
      </c>
      <c r="D269">
        <v>-8.0923188531842397E-3</v>
      </c>
      <c r="E269">
        <v>1.189108366862561E-2</v>
      </c>
    </row>
    <row r="270" spans="1:5" x14ac:dyDescent="0.2">
      <c r="A270" s="16">
        <v>41767.458333333336</v>
      </c>
      <c r="B270" t="b">
        <v>1</v>
      </c>
      <c r="C270">
        <v>-1.9074265433707328E-4</v>
      </c>
      <c r="D270">
        <v>-1.5513319336896076E-3</v>
      </c>
      <c r="E270">
        <v>-3.5988548153707803E-3</v>
      </c>
    </row>
    <row r="271" spans="1:5" x14ac:dyDescent="0.2">
      <c r="A271" s="16">
        <v>41773.395833333336</v>
      </c>
      <c r="B271" t="b">
        <v>0</v>
      </c>
      <c r="C271">
        <v>1.9554718564593382E-3</v>
      </c>
      <c r="D271">
        <v>-3.8262800347680058E-2</v>
      </c>
      <c r="E271">
        <v>1.4826255898854879E-3</v>
      </c>
    </row>
    <row r="272" spans="1:5" x14ac:dyDescent="0.2">
      <c r="A272" s="16">
        <v>41795.458333333336</v>
      </c>
      <c r="B272" t="b">
        <v>1</v>
      </c>
      <c r="C272">
        <v>-4.6002265555743406E-4</v>
      </c>
      <c r="D272">
        <v>1.1142990932533625E-3</v>
      </c>
      <c r="E272">
        <v>-7.5363324898345824E-3</v>
      </c>
    </row>
    <row r="273" spans="1:5" x14ac:dyDescent="0.2">
      <c r="A273" s="16">
        <v>41830.458333333336</v>
      </c>
      <c r="B273" t="b">
        <v>1</v>
      </c>
      <c r="C273">
        <v>1.3589066838313633E-4</v>
      </c>
      <c r="D273">
        <v>-1.4066831210776684E-4</v>
      </c>
      <c r="E273">
        <v>5.8270770705705648E-4</v>
      </c>
    </row>
    <row r="274" spans="1:5" x14ac:dyDescent="0.2">
      <c r="A274" s="16">
        <v>41858.458333333336</v>
      </c>
      <c r="B274" t="b">
        <v>1</v>
      </c>
      <c r="C274">
        <v>1.8536708555292108E-3</v>
      </c>
      <c r="D274">
        <v>-3.3307995084622213E-3</v>
      </c>
      <c r="E274">
        <v>-4.5209237282709588E-3</v>
      </c>
    </row>
    <row r="275" spans="1:5" x14ac:dyDescent="0.2">
      <c r="A275" s="16">
        <v>41864.395833333336</v>
      </c>
      <c r="B275" t="b">
        <v>0</v>
      </c>
      <c r="C275">
        <v>-2.8855370535237297E-2</v>
      </c>
      <c r="D275">
        <v>-6.0191447800208325E-2</v>
      </c>
      <c r="E275">
        <v>-2.6375618401693599E-2</v>
      </c>
    </row>
    <row r="276" spans="1:5" x14ac:dyDescent="0.2">
      <c r="A276" s="16">
        <v>41886.458333333336</v>
      </c>
      <c r="B276" t="b">
        <v>1</v>
      </c>
      <c r="C276">
        <v>-1.2955260398268378E-2</v>
      </c>
      <c r="D276">
        <v>6.9022340683138842E-3</v>
      </c>
      <c r="E276">
        <v>1.2091856528841894E-2</v>
      </c>
    </row>
    <row r="277" spans="1:5" x14ac:dyDescent="0.2">
      <c r="A277" s="16">
        <v>41921.458333333336</v>
      </c>
      <c r="B277" t="b">
        <v>1</v>
      </c>
      <c r="C277">
        <v>-4.1743320714876251E-3</v>
      </c>
      <c r="D277">
        <v>1.0803804583987681E-2</v>
      </c>
      <c r="E277">
        <v>-1.4327925833750862E-2</v>
      </c>
    </row>
    <row r="278" spans="1:5" x14ac:dyDescent="0.2">
      <c r="A278" s="16">
        <v>41949.5</v>
      </c>
      <c r="B278" t="b">
        <v>1</v>
      </c>
      <c r="C278">
        <v>-9.8535628339655491E-3</v>
      </c>
      <c r="D278">
        <v>8.6610052687437003E-3</v>
      </c>
      <c r="E278">
        <v>6.2108677622149739E-5</v>
      </c>
    </row>
    <row r="279" spans="1:5" x14ac:dyDescent="0.2">
      <c r="A279" s="16">
        <v>41955.4375</v>
      </c>
      <c r="B279" t="b">
        <v>0</v>
      </c>
      <c r="C279">
        <v>-6.7079728302853461E-3</v>
      </c>
      <c r="D279">
        <v>-4.477277864528327E-2</v>
      </c>
      <c r="E279">
        <v>-3.6206527414439089E-2</v>
      </c>
    </row>
    <row r="280" spans="1:5" x14ac:dyDescent="0.2">
      <c r="A280" s="16">
        <v>41977.5</v>
      </c>
      <c r="B280" t="b">
        <v>1</v>
      </c>
      <c r="C280">
        <v>-1.4137737518030502E-4</v>
      </c>
      <c r="D280">
        <v>1.2277100217609731E-3</v>
      </c>
      <c r="E280">
        <v>-1.8463802073823805E-3</v>
      </c>
    </row>
    <row r="281" spans="1:5" x14ac:dyDescent="0.2">
      <c r="A281" s="16">
        <v>42012.5</v>
      </c>
      <c r="B281" t="b">
        <v>1</v>
      </c>
      <c r="C281">
        <v>1.7433067990790579E-4</v>
      </c>
      <c r="D281">
        <v>-5.2395138447217703E-3</v>
      </c>
      <c r="E281">
        <v>1.7520083613940703E-3</v>
      </c>
    </row>
    <row r="282" spans="1:5" x14ac:dyDescent="0.2">
      <c r="A282" s="16">
        <v>42040.5</v>
      </c>
      <c r="B282" t="b">
        <v>1</v>
      </c>
      <c r="C282">
        <v>3.4370988285839152E-4</v>
      </c>
      <c r="D282">
        <v>-4.175269257553584E-3</v>
      </c>
      <c r="E282">
        <v>5.8003264019757823E-3</v>
      </c>
    </row>
    <row r="283" spans="1:5" x14ac:dyDescent="0.2">
      <c r="A283" s="16">
        <v>42047.4375</v>
      </c>
      <c r="B283" t="b">
        <v>0</v>
      </c>
      <c r="C283">
        <v>-9.0177194316975687E-3</v>
      </c>
      <c r="D283">
        <v>-3.5991478102883057E-2</v>
      </c>
      <c r="E283">
        <v>3.233604664599668E-2</v>
      </c>
    </row>
    <row r="284" spans="1:5" x14ac:dyDescent="0.2">
      <c r="A284" s="16">
        <v>42068.5</v>
      </c>
      <c r="B284" t="b">
        <v>1</v>
      </c>
      <c r="C284">
        <v>-1.1619598623214041E-4</v>
      </c>
      <c r="D284">
        <v>1.0810307666902412E-3</v>
      </c>
      <c r="E284">
        <v>-1.5512896634305357E-3</v>
      </c>
    </row>
    <row r="285" spans="1:5" x14ac:dyDescent="0.2">
      <c r="A285" s="16">
        <v>42103.458333333336</v>
      </c>
      <c r="B285" t="b">
        <v>1</v>
      </c>
      <c r="C285">
        <v>2.6235209715349319E-4</v>
      </c>
      <c r="D285">
        <v>-2.3969401609349695E-3</v>
      </c>
      <c r="E285">
        <v>3.5548562536390307E-3</v>
      </c>
    </row>
    <row r="286" spans="1:5" x14ac:dyDescent="0.2">
      <c r="A286" s="16">
        <v>42135.458333333336</v>
      </c>
      <c r="B286" t="b">
        <v>1</v>
      </c>
      <c r="C286">
        <v>8.0649814648788647E-5</v>
      </c>
      <c r="D286">
        <v>-7.7948675944931748E-4</v>
      </c>
      <c r="E286">
        <v>1.138984030837749E-3</v>
      </c>
    </row>
    <row r="287" spans="1:5" x14ac:dyDescent="0.2">
      <c r="A287" s="16">
        <v>42137.395833333336</v>
      </c>
      <c r="B287" t="b">
        <v>0</v>
      </c>
      <c r="C287">
        <v>2.3353075675694999E-4</v>
      </c>
      <c r="D287">
        <v>-1.5983560750114555E-2</v>
      </c>
      <c r="E287">
        <v>-2.9470677967505122E-2</v>
      </c>
    </row>
    <row r="288" spans="1:5" x14ac:dyDescent="0.2">
      <c r="A288" s="16">
        <v>42159.458333333336</v>
      </c>
      <c r="B288" t="b">
        <v>1</v>
      </c>
      <c r="C288">
        <v>2.5640610494089885E-3</v>
      </c>
      <c r="D288">
        <v>1.2027013185644394E-2</v>
      </c>
      <c r="E288">
        <v>-1.6925127946874868E-2</v>
      </c>
    </row>
    <row r="289" spans="1:5" x14ac:dyDescent="0.2">
      <c r="A289" s="16">
        <v>42194.458333333336</v>
      </c>
      <c r="B289" t="b">
        <v>1</v>
      </c>
      <c r="C289">
        <v>8.9826227138002448E-5</v>
      </c>
      <c r="D289">
        <v>-2.0829278900059688E-4</v>
      </c>
      <c r="E289">
        <v>4.4339669514667572E-4</v>
      </c>
    </row>
    <row r="290" spans="1:5" x14ac:dyDescent="0.2">
      <c r="A290" s="16">
        <v>42222.458333333336</v>
      </c>
      <c r="B290" t="b">
        <v>1</v>
      </c>
      <c r="C290">
        <v>-2.0893849543400844E-2</v>
      </c>
      <c r="D290">
        <v>-4.7150657686099622E-3</v>
      </c>
      <c r="E290">
        <v>-3.4792275724683318E-2</v>
      </c>
    </row>
    <row r="291" spans="1:5" x14ac:dyDescent="0.2">
      <c r="A291" s="16">
        <v>42222.489583333336</v>
      </c>
      <c r="B291" t="b">
        <v>0</v>
      </c>
      <c r="C291">
        <v>1.9718830696802557E-3</v>
      </c>
      <c r="D291">
        <v>-1.1359783170713173E-3</v>
      </c>
      <c r="E291">
        <v>1.5160116414802733E-2</v>
      </c>
    </row>
    <row r="292" spans="1:5" x14ac:dyDescent="0.2">
      <c r="A292" s="16">
        <v>42257.458333333336</v>
      </c>
      <c r="B292" t="b">
        <v>1</v>
      </c>
      <c r="C292">
        <v>-1.4615611092136401E-4</v>
      </c>
      <c r="D292">
        <v>1.3159093942447283E-3</v>
      </c>
      <c r="E292">
        <v>-2.0035665902085171E-3</v>
      </c>
    </row>
    <row r="293" spans="1:5" x14ac:dyDescent="0.2">
      <c r="A293" s="16">
        <v>42285.458333333336</v>
      </c>
      <c r="B293" t="b">
        <v>1</v>
      </c>
      <c r="C293">
        <v>1.1356892958648895E-3</v>
      </c>
      <c r="D293">
        <v>-2.1344635777132831E-2</v>
      </c>
      <c r="E293">
        <v>1.2368632848275905E-3</v>
      </c>
    </row>
    <row r="294" spans="1:5" x14ac:dyDescent="0.2">
      <c r="A294" s="16">
        <v>42313.5</v>
      </c>
      <c r="B294" t="b">
        <v>1</v>
      </c>
      <c r="C294">
        <v>-1.0450934114043771E-2</v>
      </c>
      <c r="D294">
        <v>-3.0573700231740667E-2</v>
      </c>
      <c r="E294">
        <v>-2.6427133322989453E-2</v>
      </c>
    </row>
    <row r="295" spans="1:5" x14ac:dyDescent="0.2">
      <c r="A295" s="16">
        <v>42313.53125</v>
      </c>
      <c r="B295" t="b">
        <v>0</v>
      </c>
      <c r="C295">
        <v>2.3959285365130444E-3</v>
      </c>
      <c r="D295">
        <v>-3.3752135639621042E-3</v>
      </c>
      <c r="E295">
        <v>-2.1069993562944582E-2</v>
      </c>
    </row>
    <row r="296" spans="1:5" x14ac:dyDescent="0.2">
      <c r="A296" s="16">
        <v>42348.5</v>
      </c>
      <c r="B296" t="b">
        <v>1</v>
      </c>
      <c r="C296">
        <v>1.3225558568019816E-3</v>
      </c>
      <c r="D296">
        <v>-1.6134124007176262E-3</v>
      </c>
      <c r="E296">
        <v>-1.2881867483291485E-2</v>
      </c>
    </row>
    <row r="297" spans="1:5" x14ac:dyDescent="0.2">
      <c r="A297" s="16">
        <v>42383.5</v>
      </c>
      <c r="B297" t="b">
        <v>1</v>
      </c>
      <c r="C297">
        <v>3.6243542167579442E-4</v>
      </c>
      <c r="D297">
        <v>3.512281267473149E-3</v>
      </c>
      <c r="E297">
        <v>1.8925760164575447E-2</v>
      </c>
    </row>
    <row r="298" spans="1:5" x14ac:dyDescent="0.2">
      <c r="A298" s="16">
        <v>42404.5</v>
      </c>
      <c r="B298" t="b">
        <v>1</v>
      </c>
      <c r="C298">
        <v>4.896636561053996E-3</v>
      </c>
      <c r="D298">
        <v>-2.1720094877739578E-2</v>
      </c>
      <c r="E298">
        <v>-4.1480766584332113E-3</v>
      </c>
    </row>
    <row r="299" spans="1:5" x14ac:dyDescent="0.2">
      <c r="A299" s="16">
        <v>42404.520833333336</v>
      </c>
      <c r="B299" t="b">
        <v>0</v>
      </c>
      <c r="C299">
        <v>4.2469004649924938E-3</v>
      </c>
      <c r="D299">
        <v>1.5931221384955022E-2</v>
      </c>
      <c r="E299">
        <v>-1.472370640079514E-2</v>
      </c>
    </row>
    <row r="300" spans="1:5" x14ac:dyDescent="0.2">
      <c r="A300" s="16">
        <v>42446.5</v>
      </c>
      <c r="B300" t="b">
        <v>1</v>
      </c>
      <c r="C300">
        <v>1.8418648756276723E-3</v>
      </c>
      <c r="D300">
        <v>-3.9942855999537102E-3</v>
      </c>
      <c r="E300">
        <v>-3.7570877374089344E-3</v>
      </c>
    </row>
    <row r="301" spans="1:5" x14ac:dyDescent="0.2">
      <c r="A301" s="16">
        <v>42474.458333333336</v>
      </c>
      <c r="B301" t="b">
        <v>1</v>
      </c>
      <c r="C301">
        <v>3.1982865586896981E-3</v>
      </c>
      <c r="D301">
        <v>1.0648802455284302E-2</v>
      </c>
      <c r="E301">
        <v>2.0681087153501059E-3</v>
      </c>
    </row>
    <row r="302" spans="1:5" x14ac:dyDescent="0.2">
      <c r="A302" s="16">
        <v>42502.458333333336</v>
      </c>
      <c r="B302" t="b">
        <v>1</v>
      </c>
      <c r="C302">
        <v>5.5389996440798131E-3</v>
      </c>
      <c r="D302">
        <v>2.1878248379844631E-2</v>
      </c>
      <c r="E302">
        <v>-9.6751352516282821E-3</v>
      </c>
    </row>
    <row r="303" spans="1:5" x14ac:dyDescent="0.2">
      <c r="A303" s="16">
        <v>42502.479166666664</v>
      </c>
      <c r="B303" t="b">
        <v>0</v>
      </c>
      <c r="C303">
        <v>-3.6618761945147028E-4</v>
      </c>
      <c r="D303">
        <v>2.6185814456339907E-3</v>
      </c>
      <c r="E303">
        <v>-4.3732860811087652E-3</v>
      </c>
    </row>
    <row r="304" spans="1:5" x14ac:dyDescent="0.2">
      <c r="A304" s="16">
        <v>42537.458333333336</v>
      </c>
      <c r="B304" t="b">
        <v>1</v>
      </c>
      <c r="C304">
        <v>4.3154042869740842E-4</v>
      </c>
      <c r="D304">
        <v>-3.679037316733148E-3</v>
      </c>
      <c r="E304">
        <v>5.6280783498025523E-3</v>
      </c>
    </row>
    <row r="305" spans="1:5" x14ac:dyDescent="0.2">
      <c r="A305" s="16">
        <v>42565.458333333336</v>
      </c>
      <c r="B305" t="b">
        <v>1</v>
      </c>
      <c r="C305">
        <v>3.6299954139068641E-2</v>
      </c>
      <c r="D305">
        <v>1.7247576156891322E-3</v>
      </c>
      <c r="E305">
        <v>1.5967814178447313E-2</v>
      </c>
    </row>
    <row r="306" spans="1:5" x14ac:dyDescent="0.2">
      <c r="A306" s="16">
        <v>42586.458333333336</v>
      </c>
      <c r="B306" t="b">
        <v>1</v>
      </c>
      <c r="C306">
        <v>-4.0486260246999882E-2</v>
      </c>
      <c r="D306">
        <v>4.4188457080213718E-2</v>
      </c>
      <c r="E306">
        <v>-0.1192664084277022</v>
      </c>
    </row>
    <row r="307" spans="1:5" x14ac:dyDescent="0.2">
      <c r="A307" s="16">
        <v>42586.479166666664</v>
      </c>
      <c r="B307" t="b">
        <v>0</v>
      </c>
      <c r="C307">
        <v>5.0669929754835422E-3</v>
      </c>
      <c r="D307">
        <v>-2.3290839965137349E-2</v>
      </c>
      <c r="E307">
        <v>5.0621676671257831E-2</v>
      </c>
    </row>
    <row r="308" spans="1:5" x14ac:dyDescent="0.2">
      <c r="A308" s="16">
        <v>42628.458333333336</v>
      </c>
      <c r="B308" t="b">
        <v>1</v>
      </c>
      <c r="C308">
        <v>-5.1128997178586525E-3</v>
      </c>
      <c r="D308">
        <v>9.2935598334355045E-3</v>
      </c>
      <c r="E308">
        <v>-3.0863148782012604E-2</v>
      </c>
    </row>
    <row r="309" spans="1:5" x14ac:dyDescent="0.2">
      <c r="A309" s="16">
        <v>42677.5</v>
      </c>
      <c r="B309" t="b">
        <v>1</v>
      </c>
      <c r="C309">
        <v>1.2177798335291989E-2</v>
      </c>
      <c r="D309">
        <v>-1.6840854025922786E-3</v>
      </c>
      <c r="E309">
        <v>4.2152405002313126E-2</v>
      </c>
    </row>
    <row r="310" spans="1:5" x14ac:dyDescent="0.2">
      <c r="A310" s="16">
        <v>42677.520833333336</v>
      </c>
      <c r="B310" t="b">
        <v>0</v>
      </c>
      <c r="C310">
        <v>-2.4842220408048563E-4</v>
      </c>
      <c r="D310">
        <v>6.3899240908825176E-5</v>
      </c>
      <c r="E310">
        <v>-9.9923389200317291E-4</v>
      </c>
    </row>
    <row r="311" spans="1:5" x14ac:dyDescent="0.2">
      <c r="A311" s="16">
        <v>42719.5</v>
      </c>
      <c r="B311" t="b">
        <v>1</v>
      </c>
      <c r="C311">
        <v>-1.7503571241290566E-3</v>
      </c>
      <c r="D311">
        <v>1.2010710060162572E-2</v>
      </c>
      <c r="E311">
        <v>-3.2421042937342069E-2</v>
      </c>
    </row>
    <row r="312" spans="1:5" x14ac:dyDescent="0.2">
      <c r="A312" s="16">
        <v>42768.5</v>
      </c>
      <c r="B312" t="b">
        <v>1</v>
      </c>
      <c r="C312">
        <v>-9.3119341626580407E-3</v>
      </c>
      <c r="D312">
        <v>-8.0888949186481204E-4</v>
      </c>
      <c r="E312">
        <v>-1.2052353864409436E-2</v>
      </c>
    </row>
    <row r="313" spans="1:5" x14ac:dyDescent="0.2">
      <c r="A313" s="16">
        <v>42768.520833333336</v>
      </c>
      <c r="B313" t="b">
        <v>0</v>
      </c>
      <c r="C313">
        <v>-3.2506810188208763E-3</v>
      </c>
      <c r="D313">
        <v>9.8524890569300395E-3</v>
      </c>
      <c r="E313">
        <v>-3.9366735192784955E-2</v>
      </c>
    </row>
    <row r="314" spans="1:5" x14ac:dyDescent="0.2">
      <c r="A314" s="16">
        <v>42810.5</v>
      </c>
      <c r="B314" t="b">
        <v>1</v>
      </c>
      <c r="C314">
        <v>6.0103757610799492E-3</v>
      </c>
      <c r="D314">
        <v>-1.4404811244859293E-2</v>
      </c>
      <c r="E314">
        <v>4.4084114343614686E-2</v>
      </c>
    </row>
    <row r="315" spans="1:5" x14ac:dyDescent="0.2">
      <c r="A315" s="16">
        <v>42866.458333333336</v>
      </c>
      <c r="B315" t="b">
        <v>1</v>
      </c>
      <c r="C315">
        <v>-4.4399283283295139E-3</v>
      </c>
      <c r="D315">
        <v>-1.4704470460401639E-2</v>
      </c>
      <c r="E315">
        <v>1.2777986475695778E-2</v>
      </c>
    </row>
    <row r="316" spans="1:5" x14ac:dyDescent="0.2">
      <c r="A316" s="16">
        <v>42866.479166666664</v>
      </c>
      <c r="B316" t="b">
        <v>0</v>
      </c>
      <c r="C316">
        <v>2.2746303750244999E-3</v>
      </c>
      <c r="D316">
        <v>-1.2017349333973243E-2</v>
      </c>
      <c r="E316">
        <v>2.1088669029728745E-3</v>
      </c>
    </row>
    <row r="317" spans="1:5" x14ac:dyDescent="0.2">
      <c r="A317" s="16">
        <v>42901.458333333336</v>
      </c>
      <c r="B317" t="b">
        <v>1</v>
      </c>
      <c r="C317">
        <v>1.1054990611925124E-2</v>
      </c>
      <c r="D317">
        <v>-1.5938049350622749E-3</v>
      </c>
      <c r="E317">
        <v>5.6839389455667029E-2</v>
      </c>
    </row>
    <row r="318" spans="1:5" x14ac:dyDescent="0.2">
      <c r="A318" s="16">
        <v>42950.458333333336</v>
      </c>
      <c r="B318" t="b">
        <v>1</v>
      </c>
      <c r="C318">
        <v>-2.3891410632764669E-2</v>
      </c>
      <c r="D318">
        <v>4.6887255073750356E-3</v>
      </c>
      <c r="E318">
        <v>-3.4188126853118082E-2</v>
      </c>
    </row>
    <row r="319" spans="1:5" x14ac:dyDescent="0.2">
      <c r="A319" s="16">
        <v>42950.479166666664</v>
      </c>
      <c r="B319" t="b">
        <v>0</v>
      </c>
      <c r="C319">
        <v>-1.5363552872950175E-3</v>
      </c>
      <c r="D319">
        <v>1.3097673288155812E-2</v>
      </c>
      <c r="E319">
        <v>-2.4360346299496467E-2</v>
      </c>
    </row>
    <row r="320" spans="1:5" x14ac:dyDescent="0.2">
      <c r="A320" s="16">
        <v>42992.458333333336</v>
      </c>
      <c r="B320" t="b">
        <v>1</v>
      </c>
      <c r="C320">
        <v>-1.0506106409817069E-2</v>
      </c>
      <c r="D320">
        <v>6.6800817065197401E-2</v>
      </c>
      <c r="E320">
        <v>2.7472865791798275E-2</v>
      </c>
    </row>
    <row r="321" spans="1:5" x14ac:dyDescent="0.2">
      <c r="A321" s="16">
        <v>43041.5</v>
      </c>
      <c r="B321" t="b">
        <v>1</v>
      </c>
      <c r="C321">
        <v>-2.0763766447156897E-3</v>
      </c>
      <c r="D321">
        <v>-5.78440082392437E-3</v>
      </c>
      <c r="E321">
        <v>-6.9657117687122738E-2</v>
      </c>
    </row>
    <row r="322" spans="1:5" x14ac:dyDescent="0.2">
      <c r="A322" s="16">
        <v>43041.520833333336</v>
      </c>
      <c r="B322" t="b">
        <v>0</v>
      </c>
      <c r="C322">
        <v>-4.1765316946462154E-3</v>
      </c>
      <c r="D322">
        <v>-4.4791245200197331E-3</v>
      </c>
      <c r="E322">
        <v>-1.6001359948089176E-2</v>
      </c>
    </row>
    <row r="323" spans="1:5" x14ac:dyDescent="0.2">
      <c r="A323" s="16">
        <v>43083.5</v>
      </c>
      <c r="B323" t="b">
        <v>1</v>
      </c>
      <c r="C323">
        <v>-5.8884073402425095E-3</v>
      </c>
      <c r="D323">
        <v>-6.5810120243062738E-3</v>
      </c>
      <c r="E323">
        <v>-2.2895950554876362E-2</v>
      </c>
    </row>
    <row r="324" spans="1:5" x14ac:dyDescent="0.2">
      <c r="A324" s="16">
        <v>43139.5</v>
      </c>
      <c r="B324" t="b">
        <v>1</v>
      </c>
      <c r="C324">
        <v>1.6440736046917311E-2</v>
      </c>
      <c r="D324">
        <v>1.3832312507513789E-2</v>
      </c>
      <c r="E324">
        <v>3.8984101765541367E-2</v>
      </c>
    </row>
    <row r="325" spans="1:5" x14ac:dyDescent="0.2">
      <c r="A325" s="16">
        <v>43139.520833333336</v>
      </c>
      <c r="B325" t="b">
        <v>0</v>
      </c>
      <c r="C325">
        <v>-3.2255010687916299E-3</v>
      </c>
      <c r="D325">
        <v>-1.7885574155173847E-3</v>
      </c>
      <c r="E325">
        <v>2.2918960449788491E-3</v>
      </c>
    </row>
    <row r="326" spans="1:5" x14ac:dyDescent="0.2">
      <c r="A326" s="16">
        <v>43181.5</v>
      </c>
      <c r="B326" t="b">
        <v>1</v>
      </c>
      <c r="C326">
        <v>-8.8536165090624518E-3</v>
      </c>
      <c r="D326">
        <v>8.1753515618637196E-3</v>
      </c>
      <c r="E326">
        <v>-2.6132747795181564E-2</v>
      </c>
    </row>
    <row r="327" spans="1:5" x14ac:dyDescent="0.2">
      <c r="A327" s="16">
        <v>43230.458333333336</v>
      </c>
      <c r="B327" t="b">
        <v>1</v>
      </c>
      <c r="C327">
        <v>-2.1998852430560812E-2</v>
      </c>
      <c r="D327">
        <v>-5.978582354108323E-3</v>
      </c>
      <c r="E327">
        <v>-3.0157026772281166E-2</v>
      </c>
    </row>
    <row r="328" spans="1:5" x14ac:dyDescent="0.2">
      <c r="A328" s="16">
        <v>43230.479166666664</v>
      </c>
      <c r="B328" t="b">
        <v>0</v>
      </c>
      <c r="C328">
        <v>-3.4622993047598834E-3</v>
      </c>
      <c r="D328">
        <v>8.2574675498519115E-3</v>
      </c>
      <c r="E328">
        <v>-1.6742352461050082E-2</v>
      </c>
    </row>
    <row r="329" spans="1:5" x14ac:dyDescent="0.2">
      <c r="A329" s="16">
        <v>43272.458333333336</v>
      </c>
      <c r="B329" t="b">
        <v>1</v>
      </c>
      <c r="C329">
        <v>3.5694354781788735E-2</v>
      </c>
      <c r="D329">
        <v>-1.263285120992594E-2</v>
      </c>
      <c r="E329">
        <v>3.915040742776163E-2</v>
      </c>
    </row>
    <row r="330" spans="1:5" x14ac:dyDescent="0.2">
      <c r="A330" s="16">
        <v>43314.458333333336</v>
      </c>
      <c r="B330" t="b">
        <v>1</v>
      </c>
      <c r="C330">
        <v>9.7325224459203739E-3</v>
      </c>
      <c r="D330">
        <v>-6.7751500321446617E-3</v>
      </c>
      <c r="E330">
        <v>-1.1135364283159723E-2</v>
      </c>
    </row>
    <row r="331" spans="1:5" x14ac:dyDescent="0.2">
      <c r="A331" s="16">
        <v>43314.479166666664</v>
      </c>
      <c r="B331" t="b">
        <v>0</v>
      </c>
      <c r="C331">
        <v>-1.00100058254511E-3</v>
      </c>
      <c r="D331">
        <v>-1.0668822578723581E-2</v>
      </c>
      <c r="E331">
        <v>1.239782921411275E-3</v>
      </c>
    </row>
    <row r="332" spans="1:5" x14ac:dyDescent="0.2">
      <c r="A332" s="16">
        <v>43356.458333333336</v>
      </c>
      <c r="B332" t="b">
        <v>1</v>
      </c>
      <c r="C332">
        <v>-5.1032809902927462E-3</v>
      </c>
      <c r="D332">
        <v>-7.5702116657880309E-3</v>
      </c>
      <c r="E332">
        <v>2.4500013113538405E-3</v>
      </c>
    </row>
    <row r="333" spans="1:5" x14ac:dyDescent="0.2">
      <c r="A333" s="16">
        <v>43405.5</v>
      </c>
      <c r="B333" t="b">
        <v>1</v>
      </c>
      <c r="C333">
        <v>4.268222732123449E-3</v>
      </c>
      <c r="D333">
        <v>-2.1481924396032893E-3</v>
      </c>
      <c r="E333">
        <v>3.1035059828259139E-3</v>
      </c>
    </row>
    <row r="334" spans="1:5" x14ac:dyDescent="0.2">
      <c r="A334" s="16">
        <v>43405.520833333336</v>
      </c>
      <c r="B334" t="b">
        <v>0</v>
      </c>
      <c r="C334">
        <v>-6.1074585934552236E-4</v>
      </c>
      <c r="D334">
        <v>-1.4503683744852435E-2</v>
      </c>
      <c r="E334">
        <v>6.8857366421308623E-3</v>
      </c>
    </row>
    <row r="335" spans="1:5" x14ac:dyDescent="0.2">
      <c r="A335" s="16">
        <v>43454.5</v>
      </c>
      <c r="B335" t="b">
        <v>1</v>
      </c>
      <c r="C335">
        <v>-9.1549487246769569E-3</v>
      </c>
      <c r="D335">
        <v>3.7697299597396704E-3</v>
      </c>
      <c r="E335">
        <v>-1.3638978031939636E-2</v>
      </c>
    </row>
    <row r="336" spans="1:5" x14ac:dyDescent="0.2">
      <c r="A336" s="16">
        <v>43503.5</v>
      </c>
      <c r="B336" t="b">
        <v>1</v>
      </c>
      <c r="C336">
        <v>-1.8862319911760822E-2</v>
      </c>
      <c r="D336">
        <v>-1.3654878384362818E-2</v>
      </c>
      <c r="E336">
        <v>-3.4332817484775515E-3</v>
      </c>
    </row>
    <row r="337" spans="1:5" x14ac:dyDescent="0.2">
      <c r="A337" s="16">
        <v>43503.520833333336</v>
      </c>
      <c r="B337" t="b">
        <v>0</v>
      </c>
      <c r="C337">
        <v>-1.9804590112970292E-3</v>
      </c>
      <c r="D337">
        <v>7.653813685027825E-3</v>
      </c>
      <c r="E337">
        <v>1.847965302744773E-2</v>
      </c>
    </row>
    <row r="338" spans="1:5" x14ac:dyDescent="0.2">
      <c r="A338" s="16">
        <v>43545.5</v>
      </c>
      <c r="B338" t="b">
        <v>1</v>
      </c>
      <c r="C338">
        <v>7.0905455135408726E-4</v>
      </c>
      <c r="D338">
        <v>-7.2233800549717951E-3</v>
      </c>
      <c r="E338">
        <v>-6.3874149601379736E-3</v>
      </c>
    </row>
    <row r="339" spans="1:5" x14ac:dyDescent="0.2">
      <c r="A339" s="16">
        <v>43587.458333333336</v>
      </c>
      <c r="B339" t="b">
        <v>1</v>
      </c>
      <c r="C339">
        <v>-1.6883004272849073E-2</v>
      </c>
      <c r="D339">
        <v>7.933520053555786E-3</v>
      </c>
      <c r="E339">
        <v>5.1781030439263676E-3</v>
      </c>
    </row>
    <row r="340" spans="1:5" x14ac:dyDescent="0.2">
      <c r="A340" s="16">
        <v>43587.479166666664</v>
      </c>
      <c r="B340" t="b">
        <v>0</v>
      </c>
      <c r="C340">
        <v>-1.0649170143983003E-3</v>
      </c>
      <c r="D340">
        <v>-3.2274461911099592E-3</v>
      </c>
      <c r="E340">
        <v>8.6169130514688504E-3</v>
      </c>
    </row>
    <row r="341" spans="1:5" x14ac:dyDescent="0.2">
      <c r="A341" s="16">
        <v>43636.458333333336</v>
      </c>
      <c r="B341" t="b">
        <v>1</v>
      </c>
      <c r="C341">
        <v>-2.2233953613660214E-2</v>
      </c>
      <c r="D341">
        <v>-2.2963951466242707E-2</v>
      </c>
      <c r="E341">
        <v>-5.8380359268460618E-3</v>
      </c>
    </row>
    <row r="342" spans="1:5" x14ac:dyDescent="0.2">
      <c r="A342" s="16">
        <v>43678.458333333336</v>
      </c>
      <c r="B342" t="b">
        <v>1</v>
      </c>
      <c r="C342">
        <v>5.2519234549175424E-3</v>
      </c>
      <c r="D342">
        <v>7.8127495002115032E-3</v>
      </c>
      <c r="E342">
        <v>8.6325791991712312E-3</v>
      </c>
    </row>
    <row r="343" spans="1:5" x14ac:dyDescent="0.2">
      <c r="A343" s="16">
        <v>43678.479166666664</v>
      </c>
      <c r="B343" t="b">
        <v>0</v>
      </c>
      <c r="C343">
        <v>6.3451305699487185E-3</v>
      </c>
      <c r="D343">
        <v>-1.0073326523665329E-2</v>
      </c>
      <c r="E343">
        <v>-1.4465660466470296E-2</v>
      </c>
    </row>
    <row r="344" spans="1:5" x14ac:dyDescent="0.2">
      <c r="A344" s="16">
        <v>43727.458333333336</v>
      </c>
      <c r="B344" t="b">
        <v>1</v>
      </c>
      <c r="C344">
        <v>-1.4414546828551198E-2</v>
      </c>
      <c r="D344">
        <v>-2.4007213321707807E-3</v>
      </c>
      <c r="E344">
        <v>-1.4504643702049567E-2</v>
      </c>
    </row>
    <row r="345" spans="1:5" x14ac:dyDescent="0.2">
      <c r="A345" s="16">
        <v>43776.5</v>
      </c>
      <c r="B345" t="b">
        <v>1</v>
      </c>
      <c r="C345">
        <v>-1.6759867708092357E-2</v>
      </c>
      <c r="D345">
        <v>-2.4158883699827795E-2</v>
      </c>
      <c r="E345">
        <v>-2.3872066885199938E-2</v>
      </c>
    </row>
    <row r="346" spans="1:5" x14ac:dyDescent="0.2">
      <c r="A346" s="16">
        <v>43776.520833333336</v>
      </c>
      <c r="B346" t="b">
        <v>0</v>
      </c>
      <c r="C346">
        <v>-6.9326978795792591E-3</v>
      </c>
      <c r="D346">
        <v>1.394043161263203E-2</v>
      </c>
      <c r="E346">
        <v>-5.8409091054873116E-3</v>
      </c>
    </row>
    <row r="347" spans="1:5" x14ac:dyDescent="0.2">
      <c r="A347" s="16">
        <v>43818.5</v>
      </c>
      <c r="B347" t="b">
        <v>1</v>
      </c>
      <c r="C347">
        <v>1.9922788538907336E-2</v>
      </c>
      <c r="D347">
        <v>-1.0169012125563979E-2</v>
      </c>
      <c r="E347">
        <v>1.8970229840554988E-2</v>
      </c>
    </row>
    <row r="348" spans="1:5" x14ac:dyDescent="0.2">
      <c r="A348" s="16">
        <v>43860.5</v>
      </c>
      <c r="B348" t="b">
        <v>1</v>
      </c>
      <c r="C348">
        <v>8.5756613523583436E-2</v>
      </c>
      <c r="D348">
        <v>-2.3666122968890799E-2</v>
      </c>
      <c r="E348">
        <v>2.9507041042639817E-2</v>
      </c>
    </row>
    <row r="349" spans="1:5" x14ac:dyDescent="0.2">
      <c r="A349" s="16">
        <v>43860.520833333336</v>
      </c>
      <c r="B349" t="b">
        <v>0</v>
      </c>
      <c r="C349">
        <v>1.6649854799925878E-2</v>
      </c>
      <c r="D349">
        <v>-1.6046362054545071E-2</v>
      </c>
      <c r="E349">
        <v>2.2396155453183113E-2</v>
      </c>
    </row>
    <row r="350" spans="1:5" x14ac:dyDescent="0.2">
      <c r="A350" s="16">
        <v>43909.606249999997</v>
      </c>
      <c r="B350" t="b">
        <v>1</v>
      </c>
      <c r="C350">
        <v>-2.7583020894638481E-2</v>
      </c>
      <c r="D350">
        <v>9.3661067510618257E-2</v>
      </c>
      <c r="E350">
        <v>-0.16221288552434293</v>
      </c>
    </row>
    <row r="351" spans="1:5" x14ac:dyDescent="0.2">
      <c r="A351" s="16">
        <v>43916.5</v>
      </c>
      <c r="B351" t="b">
        <v>1</v>
      </c>
      <c r="C351">
        <v>1.1913124366328751E-2</v>
      </c>
      <c r="D351">
        <v>-8.3908332045751991E-3</v>
      </c>
      <c r="E351">
        <v>-5.9171792438491777E-3</v>
      </c>
    </row>
    <row r="352" spans="1:5" x14ac:dyDescent="0.2">
      <c r="A352" s="16">
        <v>43958.3125</v>
      </c>
      <c r="B352" t="b">
        <v>0</v>
      </c>
      <c r="C352">
        <v>-8.8274959456947487E-4</v>
      </c>
      <c r="D352">
        <v>-8.8487663924584677E-3</v>
      </c>
      <c r="E352">
        <v>1.1664801997105118E-2</v>
      </c>
    </row>
    <row r="353" spans="1:5" x14ac:dyDescent="0.2">
      <c r="A353" s="16">
        <v>44000.458333333336</v>
      </c>
      <c r="B353" t="b">
        <v>1</v>
      </c>
      <c r="C353">
        <v>6.9904621953080261E-3</v>
      </c>
      <c r="D353">
        <v>-2.2342097931211904E-2</v>
      </c>
      <c r="E353">
        <v>5.3006435567328349E-2</v>
      </c>
    </row>
    <row r="354" spans="1:5" x14ac:dyDescent="0.2">
      <c r="A354" s="16">
        <v>44049.3125</v>
      </c>
      <c r="B354" t="b">
        <v>0</v>
      </c>
      <c r="C354">
        <v>-4.3442825354416455E-3</v>
      </c>
      <c r="D354">
        <v>9.950061982110953E-3</v>
      </c>
      <c r="E354">
        <v>-8.8092462155447727E-3</v>
      </c>
    </row>
    <row r="355" spans="1:5" x14ac:dyDescent="0.2">
      <c r="A355" s="16">
        <v>44091.458333333336</v>
      </c>
      <c r="B355" t="b">
        <v>1</v>
      </c>
      <c r="C355">
        <v>-2.3183526717770086E-2</v>
      </c>
      <c r="D355">
        <v>-2.4812096064137514E-2</v>
      </c>
      <c r="E355">
        <v>-2.6497616790017227E-2</v>
      </c>
    </row>
    <row r="356" spans="1:5" x14ac:dyDescent="0.2">
      <c r="A356" s="16">
        <v>44140.333333333336</v>
      </c>
      <c r="B356" t="b">
        <v>0</v>
      </c>
      <c r="C356">
        <v>-5.3619456236090948E-3</v>
      </c>
      <c r="D356">
        <v>-1.460727025762232E-2</v>
      </c>
      <c r="E356">
        <v>5.7867599592375868E-3</v>
      </c>
    </row>
    <row r="357" spans="1:5" x14ac:dyDescent="0.2">
      <c r="A357" s="16">
        <v>44182.5</v>
      </c>
      <c r="B357" t="b">
        <v>1</v>
      </c>
      <c r="C357">
        <v>1.0996220894512669E-3</v>
      </c>
      <c r="D357">
        <v>5.5655952666545331E-3</v>
      </c>
      <c r="E357">
        <v>-8.4341819566431577E-3</v>
      </c>
    </row>
    <row r="358" spans="1:5" x14ac:dyDescent="0.2">
      <c r="A358" s="16">
        <v>44231.5</v>
      </c>
      <c r="B358" t="b">
        <v>1</v>
      </c>
      <c r="C358">
        <v>2.9904125359179082E-2</v>
      </c>
      <c r="D358">
        <v>-6.1071830139046114E-3</v>
      </c>
      <c r="E358">
        <v>3.0983386317541894E-2</v>
      </c>
    </row>
    <row r="359" spans="1:5" x14ac:dyDescent="0.2">
      <c r="A359" s="16">
        <v>44231.541666666664</v>
      </c>
      <c r="B359" t="b">
        <v>0</v>
      </c>
      <c r="C359">
        <v>-2.4528675974255033E-4</v>
      </c>
      <c r="D359">
        <v>-5.5514465114192054E-3</v>
      </c>
      <c r="E359">
        <v>1.7735121582300603E-2</v>
      </c>
    </row>
    <row r="360" spans="1:5" x14ac:dyDescent="0.2">
      <c r="A360" s="16">
        <v>44273.5</v>
      </c>
      <c r="B360" t="b">
        <v>1</v>
      </c>
      <c r="C360">
        <v>-8.5766823553730962E-4</v>
      </c>
      <c r="D360">
        <v>8.0666921118370243E-3</v>
      </c>
      <c r="E360">
        <v>-1.1782863719269504E-2</v>
      </c>
    </row>
    <row r="361" spans="1:5" x14ac:dyDescent="0.2">
      <c r="A361" s="16">
        <v>44322.458333333336</v>
      </c>
      <c r="B361" t="b">
        <v>1</v>
      </c>
      <c r="C361">
        <v>6.3622089623266594E-4</v>
      </c>
      <c r="D361">
        <v>-9.164563889060456E-3</v>
      </c>
      <c r="E361">
        <v>1.8295327561942094E-2</v>
      </c>
    </row>
    <row r="362" spans="1:5" x14ac:dyDescent="0.2">
      <c r="A362" s="16">
        <v>44322.5</v>
      </c>
      <c r="B362" t="b">
        <v>0</v>
      </c>
      <c r="C362">
        <v>-7.2925848675645577E-4</v>
      </c>
      <c r="D362">
        <v>-1.2893371143898828E-3</v>
      </c>
      <c r="E362">
        <v>8.8051304852160353E-3</v>
      </c>
    </row>
    <row r="363" spans="1:5" x14ac:dyDescent="0.2">
      <c r="A363" s="16">
        <v>44371.458333333336</v>
      </c>
      <c r="B363" t="b">
        <v>1</v>
      </c>
      <c r="C363">
        <v>-1.1304758101859191E-3</v>
      </c>
      <c r="D363">
        <v>2.0605454683973378E-3</v>
      </c>
      <c r="E363">
        <v>-1.5491735888955315E-2</v>
      </c>
    </row>
    <row r="364" spans="1:5" x14ac:dyDescent="0.2">
      <c r="A364" s="16">
        <v>44413.458333333336</v>
      </c>
      <c r="B364" t="b">
        <v>1</v>
      </c>
      <c r="C364">
        <v>7.8169488486112132E-4</v>
      </c>
      <c r="D364">
        <v>-1.4055013983927949E-3</v>
      </c>
      <c r="E364">
        <v>-4.0908154515249253E-3</v>
      </c>
    </row>
    <row r="365" spans="1:5" x14ac:dyDescent="0.2">
      <c r="A365" s="16">
        <v>44413.5</v>
      </c>
      <c r="B365" t="b">
        <v>0</v>
      </c>
      <c r="C365">
        <v>-1.0021510710390637E-3</v>
      </c>
      <c r="D365">
        <v>1.5574659357701973E-3</v>
      </c>
      <c r="E365">
        <v>8.3342908797715935E-3</v>
      </c>
    </row>
    <row r="366" spans="1:5" x14ac:dyDescent="0.2">
      <c r="A366" s="16">
        <v>44462.458333333336</v>
      </c>
      <c r="B366" t="b">
        <v>1</v>
      </c>
      <c r="C366">
        <v>4.4505935403843242E-3</v>
      </c>
      <c r="D366">
        <v>2.0299913158610339E-2</v>
      </c>
      <c r="E366">
        <v>1.4439247037857242E-2</v>
      </c>
    </row>
    <row r="367" spans="1:5" x14ac:dyDescent="0.2">
      <c r="A367" s="16">
        <v>44504.5</v>
      </c>
      <c r="B367" t="b">
        <v>1</v>
      </c>
      <c r="C367">
        <v>-7.763632937730891E-2</v>
      </c>
      <c r="D367">
        <v>-4.1715181544226022E-2</v>
      </c>
      <c r="E367">
        <v>-2.0758531381923906E-2</v>
      </c>
    </row>
    <row r="368" spans="1:5" x14ac:dyDescent="0.2">
      <c r="A368" s="16">
        <v>44504.520833333336</v>
      </c>
      <c r="B368" t="b">
        <v>0</v>
      </c>
      <c r="C368">
        <v>5.665829182527148E-4</v>
      </c>
      <c r="D368">
        <v>-4.9578916440326047E-2</v>
      </c>
      <c r="E368">
        <v>-1.9033457891292377E-2</v>
      </c>
    </row>
    <row r="369" spans="1:5" x14ac:dyDescent="0.2">
      <c r="A369" s="16">
        <v>44546.5</v>
      </c>
      <c r="B369" t="b">
        <v>1</v>
      </c>
      <c r="C369">
        <v>8.4700853065005452E-2</v>
      </c>
      <c r="D369">
        <v>-6.6180199486816124E-2</v>
      </c>
      <c r="E369">
        <v>6.7995197876050392E-2</v>
      </c>
    </row>
    <row r="370" spans="1:5" x14ac:dyDescent="0.2">
      <c r="A370" s="16">
        <v>44595.5</v>
      </c>
      <c r="B370" t="b">
        <v>1</v>
      </c>
      <c r="C370">
        <v>1.611063840081816E-2</v>
      </c>
      <c r="D370">
        <v>0.16690512495023707</v>
      </c>
      <c r="E370">
        <v>4.9237556815174333E-2</v>
      </c>
    </row>
    <row r="371" spans="1:5" x14ac:dyDescent="0.2">
      <c r="A371" s="16">
        <v>44595.520833333336</v>
      </c>
      <c r="B371" t="b">
        <v>0</v>
      </c>
      <c r="C371">
        <v>4.3625014828016454E-3</v>
      </c>
      <c r="D371">
        <v>-5.1337859895744353E-4</v>
      </c>
      <c r="E371">
        <v>-1.1013833201561546E-2</v>
      </c>
    </row>
    <row r="372" spans="1:5" x14ac:dyDescent="0.2">
      <c r="A372" s="16">
        <v>44637.5</v>
      </c>
      <c r="B372" t="b">
        <v>1</v>
      </c>
      <c r="C372">
        <v>-8.9642372616247079E-2</v>
      </c>
      <c r="D372">
        <v>-0.11080829942431884</v>
      </c>
      <c r="E372">
        <v>-2.6489387616351192E-2</v>
      </c>
    </row>
    <row r="373" spans="1:5" x14ac:dyDescent="0.2">
      <c r="A373" s="16">
        <v>44686.458333333336</v>
      </c>
      <c r="B373" t="b">
        <v>1</v>
      </c>
      <c r="C373">
        <v>-1.4914999783906044E-2</v>
      </c>
      <c r="D373">
        <v>-5.6449700273847193E-2</v>
      </c>
      <c r="E373">
        <v>-7.3872076074529905E-2</v>
      </c>
    </row>
    <row r="374" spans="1:5" x14ac:dyDescent="0.2">
      <c r="A374" s="16">
        <v>44686.479166666664</v>
      </c>
      <c r="B374" t="b">
        <v>0</v>
      </c>
      <c r="C374">
        <v>1.809308945016746E-3</v>
      </c>
      <c r="D374">
        <v>-3.2534615943955195E-2</v>
      </c>
      <c r="E374">
        <v>-0.10220499853194194</v>
      </c>
    </row>
    <row r="375" spans="1:5" x14ac:dyDescent="0.2">
      <c r="A375" s="16">
        <v>44728.458333333336</v>
      </c>
      <c r="B375" t="b">
        <v>1</v>
      </c>
      <c r="C375">
        <v>-8.6188975820669186E-2</v>
      </c>
      <c r="D375">
        <v>0.13411749545045498</v>
      </c>
      <c r="E375">
        <v>4.3190659390133092E-2</v>
      </c>
    </row>
    <row r="376" spans="1:5" x14ac:dyDescent="0.2">
      <c r="A376" s="16">
        <v>44777.458333333336</v>
      </c>
      <c r="B376" t="b">
        <v>1</v>
      </c>
      <c r="C376">
        <v>3.5328072437383923E-2</v>
      </c>
      <c r="D376">
        <v>-5.1816992384912927E-2</v>
      </c>
      <c r="E376">
        <v>-4.9319491127939159E-2</v>
      </c>
    </row>
    <row r="377" spans="1:5" x14ac:dyDescent="0.2">
      <c r="A377" s="16">
        <v>44777.479166666664</v>
      </c>
      <c r="B377" t="b">
        <v>0</v>
      </c>
      <c r="C377">
        <v>5.3018140384283831E-3</v>
      </c>
      <c r="D377">
        <v>-2.4063470846929128E-2</v>
      </c>
      <c r="E377">
        <v>-6.8841532993237919E-2</v>
      </c>
    </row>
    <row r="378" spans="1:5" x14ac:dyDescent="0.2">
      <c r="A378" s="16">
        <v>44826.458333333336</v>
      </c>
      <c r="B378" t="b">
        <v>1</v>
      </c>
      <c r="C378">
        <v>-0.16092382933955843</v>
      </c>
      <c r="D378">
        <v>3.9418732086443795E-2</v>
      </c>
      <c r="E378">
        <v>0.12574530139796247</v>
      </c>
    </row>
    <row r="379" spans="1:5" x14ac:dyDescent="0.2">
      <c r="A379" s="16">
        <v>44868.5</v>
      </c>
      <c r="B379" t="b">
        <v>1</v>
      </c>
      <c r="C379">
        <v>2.3950756768341384E-2</v>
      </c>
      <c r="D379">
        <v>-9.7399622431016963E-2</v>
      </c>
      <c r="E379">
        <v>1.4983977398083888E-2</v>
      </c>
    </row>
    <row r="380" spans="1:5" x14ac:dyDescent="0.2">
      <c r="A380" s="16">
        <v>44868.520833333336</v>
      </c>
      <c r="B380" t="b">
        <v>0</v>
      </c>
      <c r="C380">
        <v>-9.6714978020202222E-3</v>
      </c>
      <c r="D380">
        <v>1.9851677745551893E-2</v>
      </c>
      <c r="E380">
        <v>-4.7004793667862081E-2</v>
      </c>
    </row>
    <row r="381" spans="1:5" x14ac:dyDescent="0.2">
      <c r="A381" s="16">
        <v>44910.5</v>
      </c>
      <c r="B381" t="b">
        <v>1</v>
      </c>
      <c r="C381">
        <v>-5.1606023555890871E-3</v>
      </c>
      <c r="D381">
        <v>-5.8118818069431873E-2</v>
      </c>
      <c r="E381">
        <v>-1.0033490386900386E-2</v>
      </c>
    </row>
    <row r="382" spans="1:5" x14ac:dyDescent="0.2">
      <c r="A382" s="16">
        <v>44959.5</v>
      </c>
      <c r="B382" t="b">
        <v>1</v>
      </c>
      <c r="C382">
        <v>3.2394997890970854E-2</v>
      </c>
      <c r="D382">
        <v>-3.2259949955772823E-3</v>
      </c>
      <c r="E382">
        <v>-4.7453191927885996E-2</v>
      </c>
    </row>
    <row r="383" spans="1:5" x14ac:dyDescent="0.2">
      <c r="A383" s="16">
        <v>44959.520833333336</v>
      </c>
      <c r="B383" t="b">
        <v>0</v>
      </c>
      <c r="C383">
        <v>-3.4797414891095412E-3</v>
      </c>
      <c r="D383">
        <v>-3.6639790577830969E-2</v>
      </c>
      <c r="E383">
        <v>-3.6270235176111748E-2</v>
      </c>
    </row>
    <row r="384" spans="1:5" x14ac:dyDescent="0.2">
      <c r="A384" s="16">
        <v>45008.5</v>
      </c>
      <c r="B384" t="b">
        <v>1</v>
      </c>
      <c r="C384">
        <v>3.5157012042053862E-2</v>
      </c>
      <c r="D384">
        <v>1.5919862252129748E-2</v>
      </c>
      <c r="E384">
        <v>-2.4201861950187997E-3</v>
      </c>
    </row>
    <row r="385" spans="1:5" x14ac:dyDescent="0.2">
      <c r="A385" s="16">
        <v>45057.458333333336</v>
      </c>
      <c r="B385" t="b">
        <v>1</v>
      </c>
      <c r="C385">
        <v>-9.9754383007698982E-3</v>
      </c>
      <c r="D385">
        <v>4.4840389962105015E-2</v>
      </c>
      <c r="E385">
        <v>2.0926012374563641E-2</v>
      </c>
    </row>
    <row r="386" spans="1:5" x14ac:dyDescent="0.2">
      <c r="A386" s="16">
        <v>45057.479166666664</v>
      </c>
      <c r="B386" t="b">
        <v>0</v>
      </c>
      <c r="C386">
        <v>5.5332270178521531E-4</v>
      </c>
      <c r="D386">
        <v>-9.2311638826606344E-3</v>
      </c>
      <c r="E386">
        <v>-2.9907427510634525E-2</v>
      </c>
    </row>
    <row r="387" spans="1:5" x14ac:dyDescent="0.2">
      <c r="A387" s="16">
        <v>45099.458333333336</v>
      </c>
      <c r="B387" t="b">
        <v>1</v>
      </c>
      <c r="C387">
        <v>0.18728138932806296</v>
      </c>
      <c r="D387">
        <v>-1.5219151984927255E-2</v>
      </c>
      <c r="E387">
        <v>-8.3232898384973678E-2</v>
      </c>
    </row>
    <row r="388" spans="1:5" x14ac:dyDescent="0.2">
      <c r="A388" s="16">
        <v>45141.458333333336</v>
      </c>
      <c r="B388" t="b">
        <v>1</v>
      </c>
      <c r="C388">
        <v>-4.4208481202189891E-2</v>
      </c>
      <c r="D388">
        <v>-4.8616018938521174E-2</v>
      </c>
      <c r="E388">
        <v>2.2122686051800605E-2</v>
      </c>
    </row>
    <row r="389" spans="1:5" x14ac:dyDescent="0.2">
      <c r="A389" s="16">
        <v>45141.479166666664</v>
      </c>
      <c r="B389" t="b">
        <v>0</v>
      </c>
      <c r="C389">
        <v>-6.3298903413121386E-3</v>
      </c>
      <c r="D389">
        <v>-4.65318126623926E-3</v>
      </c>
      <c r="E389">
        <v>1.0314381377061535E-3</v>
      </c>
    </row>
    <row r="390" spans="1:5" x14ac:dyDescent="0.2">
      <c r="A390" s="16">
        <v>45190.458333333336</v>
      </c>
      <c r="B390" t="b">
        <v>1</v>
      </c>
      <c r="C390">
        <v>-0.11424417579124369</v>
      </c>
      <c r="D390">
        <v>3.9921581322581973E-2</v>
      </c>
      <c r="E390">
        <v>3.702785345399838E-2</v>
      </c>
    </row>
    <row r="391" spans="1:5" x14ac:dyDescent="0.2">
      <c r="A391" s="16">
        <v>45232.5</v>
      </c>
      <c r="B391" t="b">
        <v>1</v>
      </c>
      <c r="C391">
        <v>-4.0325890248545226E-3</v>
      </c>
      <c r="D391">
        <v>5.3190547468648852E-3</v>
      </c>
      <c r="E391">
        <v>-1.2029218760537894E-2</v>
      </c>
    </row>
    <row r="392" spans="1:5" x14ac:dyDescent="0.2">
      <c r="A392" s="16">
        <v>45232.520833333336</v>
      </c>
      <c r="B392" t="b">
        <v>0</v>
      </c>
      <c r="C392">
        <v>-2.9065307171386198E-3</v>
      </c>
      <c r="D392">
        <v>2.0001898862643124E-2</v>
      </c>
      <c r="E392">
        <v>-2.2764346416433615E-2</v>
      </c>
    </row>
    <row r="393" spans="1:5" x14ac:dyDescent="0.2">
      <c r="A393" s="16">
        <v>45274.5</v>
      </c>
      <c r="B393" t="b">
        <v>1</v>
      </c>
      <c r="C393">
        <v>3.6096766720901318E-3</v>
      </c>
      <c r="D393">
        <v>-3.4292621214339444E-2</v>
      </c>
      <c r="E393">
        <v>4.9237598521469854E-2</v>
      </c>
    </row>
    <row r="394" spans="1:5" x14ac:dyDescent="0.2">
      <c r="A394" s="16">
        <v>45323.5</v>
      </c>
      <c r="B394" t="b">
        <v>1</v>
      </c>
      <c r="C394">
        <v>-3.5464692848275669E-3</v>
      </c>
      <c r="D394">
        <v>3.1398853973251158E-2</v>
      </c>
      <c r="E394">
        <v>3.6561633862014269E-2</v>
      </c>
    </row>
    <row r="395" spans="1:5" x14ac:dyDescent="0.2">
      <c r="A395" s="16">
        <v>45323.520833333336</v>
      </c>
      <c r="B395" t="b">
        <v>0</v>
      </c>
      <c r="C395">
        <v>-5.3928642572314493E-4</v>
      </c>
      <c r="D395">
        <v>1.0145197181507138E-3</v>
      </c>
      <c r="E395">
        <v>-4.7210918522974439E-2</v>
      </c>
    </row>
    <row r="396" spans="1:5" x14ac:dyDescent="0.2">
      <c r="A396" s="16">
        <v>45372.5</v>
      </c>
      <c r="B396" t="b">
        <v>1</v>
      </c>
      <c r="C396">
        <v>-4.8139493902926902E-3</v>
      </c>
      <c r="D396">
        <v>-2.3865996048605453E-2</v>
      </c>
      <c r="E396">
        <v>-1.225914545052887E-2</v>
      </c>
    </row>
    <row r="397" spans="1:5" x14ac:dyDescent="0.2">
      <c r="A397" s="16">
        <v>45421.458333333336</v>
      </c>
      <c r="B397" t="b">
        <v>1</v>
      </c>
      <c r="C397">
        <v>5.1508188682840112E-3</v>
      </c>
      <c r="D397">
        <v>-2.797779803855252E-2</v>
      </c>
      <c r="E397">
        <v>-1.7728371231580806E-2</v>
      </c>
    </row>
    <row r="398" spans="1:5" x14ac:dyDescent="0.2">
      <c r="A398" s="16">
        <v>45421.479166666664</v>
      </c>
      <c r="B398" t="b">
        <v>0</v>
      </c>
      <c r="C398">
        <v>-1.2238394783741992E-3</v>
      </c>
      <c r="D398">
        <v>-5.7095278310210374E-3</v>
      </c>
      <c r="E398">
        <v>-1.2054870529310258E-2</v>
      </c>
    </row>
    <row r="399" spans="1:5" x14ac:dyDescent="0.2">
      <c r="A399" s="16">
        <v>45463.458333333336</v>
      </c>
      <c r="B399" t="b">
        <v>1</v>
      </c>
      <c r="C399">
        <v>-2.5361828041668755E-2</v>
      </c>
      <c r="D399">
        <v>-2.2465048649994046E-2</v>
      </c>
      <c r="E399">
        <v>-3.2811303484076251E-2</v>
      </c>
    </row>
    <row r="400" spans="1:5" x14ac:dyDescent="0.2">
      <c r="A400" s="16">
        <v>45505.458333333336</v>
      </c>
      <c r="B400" t="b">
        <v>1</v>
      </c>
      <c r="C400">
        <v>-4.9336528529279555E-2</v>
      </c>
      <c r="D400">
        <v>-3.3374485894241961E-2</v>
      </c>
      <c r="E400">
        <v>2.5860476238770063E-2</v>
      </c>
    </row>
    <row r="401" spans="1:5" x14ac:dyDescent="0.2">
      <c r="A401" s="16">
        <v>45505.479166666664</v>
      </c>
      <c r="B401" t="b">
        <v>0</v>
      </c>
      <c r="C401">
        <v>2.2722058381311294E-3</v>
      </c>
      <c r="D401">
        <v>-1.7446289198059382E-2</v>
      </c>
      <c r="E401">
        <v>-3.1187046441558102E-2</v>
      </c>
    </row>
    <row r="402" spans="1:5" x14ac:dyDescent="0.2">
      <c r="A402" s="16">
        <v>45554.458333333336</v>
      </c>
      <c r="B402" t="b">
        <v>1</v>
      </c>
      <c r="C402">
        <v>4.0994226229637623E-2</v>
      </c>
      <c r="D402">
        <v>5.2008590731455168E-2</v>
      </c>
      <c r="E402">
        <v>1.3502011517373989E-2</v>
      </c>
    </row>
    <row r="403" spans="1:5" x14ac:dyDescent="0.2">
      <c r="A403" s="16">
        <v>45603.5</v>
      </c>
      <c r="B403" t="b">
        <v>1</v>
      </c>
      <c r="C403">
        <v>-8.8681419384795937E-4</v>
      </c>
      <c r="D403">
        <v>4.3808701770325441E-2</v>
      </c>
      <c r="E403">
        <v>-4.2860052649279258E-3</v>
      </c>
    </row>
    <row r="404" spans="1:5" x14ac:dyDescent="0.2">
      <c r="A404" s="16">
        <v>45603.520833333336</v>
      </c>
      <c r="B404" t="b">
        <v>0</v>
      </c>
      <c r="C404">
        <v>-2.2543901407573422E-5</v>
      </c>
      <c r="D404">
        <v>-4.4648462098859946E-3</v>
      </c>
      <c r="E404">
        <v>6.1494328360097369E-3</v>
      </c>
    </row>
    <row r="405" spans="1:5" x14ac:dyDescent="0.2">
      <c r="A405" s="16">
        <v>45645.5</v>
      </c>
      <c r="B405" t="b">
        <v>1</v>
      </c>
      <c r="C405">
        <v>-1.8434849149393324E-2</v>
      </c>
      <c r="D405">
        <v>-3.2882471431344477E-2</v>
      </c>
      <c r="E405">
        <v>-9.0261076427539683E-3</v>
      </c>
    </row>
    <row r="406" spans="1:5" x14ac:dyDescent="0.2">
      <c r="A406" s="16">
        <v>45694.5</v>
      </c>
      <c r="B406" t="b">
        <v>1</v>
      </c>
      <c r="C406">
        <v>-1.3589917997822809E-3</v>
      </c>
      <c r="D406">
        <v>-8.8538079222340846E-2</v>
      </c>
      <c r="E406">
        <v>1.3847438048327394E-2</v>
      </c>
    </row>
    <row r="407" spans="1:5" x14ac:dyDescent="0.2">
      <c r="A407" s="16">
        <v>45694.520833333336</v>
      </c>
      <c r="B407" t="b">
        <v>0</v>
      </c>
      <c r="C407">
        <v>5.754395140501951E-3</v>
      </c>
      <c r="D407">
        <v>7.1367855370616431E-3</v>
      </c>
      <c r="E407">
        <v>1.1828390761226807E-2</v>
      </c>
    </row>
    <row r="408" spans="1:5" x14ac:dyDescent="0.2">
      <c r="A408" s="16">
        <v>45736.5</v>
      </c>
      <c r="B408" t="b">
        <v>1</v>
      </c>
      <c r="C408">
        <v>1.0791370122618516E-2</v>
      </c>
      <c r="D408">
        <v>1.1091691240464609E-2</v>
      </c>
      <c r="E408">
        <v>1.2358052329774301E-2</v>
      </c>
    </row>
    <row r="409" spans="1:5" x14ac:dyDescent="0.2">
      <c r="A409" s="16">
        <v>45785.458333333336</v>
      </c>
      <c r="B409" t="b">
        <v>1</v>
      </c>
      <c r="C409">
        <v>1.5119000279604512E-2</v>
      </c>
      <c r="D409">
        <v>9.0458214114363528E-2</v>
      </c>
      <c r="E409">
        <v>3.7152529143812188E-2</v>
      </c>
    </row>
    <row r="410" spans="1:5" x14ac:dyDescent="0.2">
      <c r="A410" s="16">
        <v>45785.479166666664</v>
      </c>
      <c r="B410" t="b">
        <v>0</v>
      </c>
      <c r="C410">
        <v>2.7327610256239841E-3</v>
      </c>
      <c r="D410">
        <v>-1.6497209195466987E-3</v>
      </c>
      <c r="E410">
        <v>-2.1840335210792546E-2</v>
      </c>
    </row>
    <row r="411" spans="1:5" x14ac:dyDescent="0.2">
      <c r="A411" s="16">
        <v>45827.458333333336</v>
      </c>
      <c r="B411" t="b">
        <v>1</v>
      </c>
      <c r="C411">
        <v>-3.5307847748318999E-3</v>
      </c>
      <c r="D411">
        <v>-1.9797807328662619E-2</v>
      </c>
      <c r="E411">
        <v>-7.8718487325536053E-3</v>
      </c>
    </row>
    <row r="412" spans="1:5" x14ac:dyDescent="0.2">
      <c r="A412" s="16">
        <v>45876.458333333336</v>
      </c>
      <c r="B412" t="b">
        <v>1</v>
      </c>
      <c r="C412">
        <v>-2.6830587036858118E-3</v>
      </c>
      <c r="D412">
        <v>5.3446099792949793E-2</v>
      </c>
      <c r="E412">
        <v>1.960249408528204E-2</v>
      </c>
    </row>
    <row r="413" spans="1:5" x14ac:dyDescent="0.2">
      <c r="A413" s="16">
        <v>45876.479166666664</v>
      </c>
      <c r="B413" t="b">
        <v>0</v>
      </c>
      <c r="C413">
        <v>-1.0088086368836391E-3</v>
      </c>
      <c r="D413">
        <v>-1.083647686519828E-2</v>
      </c>
      <c r="E413">
        <v>-1.0417677344564853E-3</v>
      </c>
    </row>
    <row r="414" spans="1:5" x14ac:dyDescent="0.2">
      <c r="A414" s="16">
        <v>45918.458333333336</v>
      </c>
      <c r="B414" t="b">
        <v>1</v>
      </c>
      <c r="C414">
        <v>-5.2267409675973049E-3</v>
      </c>
      <c r="D414">
        <v>-2.2597341520854585E-2</v>
      </c>
      <c r="E414">
        <v>-2.0507692633975481E-2</v>
      </c>
    </row>
    <row r="415" spans="1:5" x14ac:dyDescent="0.2">
      <c r="A415" s="16">
        <v>45967.5</v>
      </c>
      <c r="B415" t="b">
        <v>1</v>
      </c>
      <c r="C415">
        <v>2.8998068671071044E-2</v>
      </c>
      <c r="D415">
        <v>-4.6244655320911668E-2</v>
      </c>
      <c r="E415">
        <v>-2.0227678301902655E-2</v>
      </c>
    </row>
    <row r="416" spans="1:5" x14ac:dyDescent="0.2">
      <c r="A416" s="16">
        <v>45967.520833333336</v>
      </c>
      <c r="B416" t="b">
        <v>0</v>
      </c>
      <c r="C416">
        <v>5.9086983203995435E-4</v>
      </c>
      <c r="D416">
        <v>1.9042421734296541E-2</v>
      </c>
      <c r="E416">
        <v>-1.2916662446367279E-2</v>
      </c>
    </row>
    <row r="417" spans="1:5" x14ac:dyDescent="0.2">
      <c r="A417" t="s">
        <v>100</v>
      </c>
      <c r="C417" s="17">
        <f>AVERAGE(C2:C416)</f>
        <v>-2.2187279546002749E-3</v>
      </c>
      <c r="D417" s="17">
        <f t="shared" ref="D417:E417" si="0">AVERAGE(D2:D416)</f>
        <v>-4.5020228983680757E-3</v>
      </c>
      <c r="E417" s="17">
        <f t="shared" si="0"/>
        <v>-2.1627292662283071E-3</v>
      </c>
    </row>
    <row r="418" spans="1:5" x14ac:dyDescent="0.2">
      <c r="A418" t="s">
        <v>99</v>
      </c>
      <c r="C418" s="17">
        <f>_xlfn.STDEV.P(C2:C417)</f>
        <v>4.6783300183577965E-2</v>
      </c>
      <c r="D418" s="17">
        <f t="shared" ref="D418:E418" si="1">_xlfn.STDEV.P(D2:D417)</f>
        <v>3.2429104241485589E-2</v>
      </c>
      <c r="E418" s="17">
        <f t="shared" si="1"/>
        <v>2.8744818557603278E-2</v>
      </c>
    </row>
    <row r="419" spans="1:5" x14ac:dyDescent="0.2">
      <c r="A419" t="s">
        <v>101</v>
      </c>
      <c r="C419" s="17">
        <f>CORREL(C2:C416,D2:D416)</f>
        <v>-6.568114478425602E-3</v>
      </c>
      <c r="D419" s="17">
        <f>CORREL(C2:C416,D2:D416)</f>
        <v>-6.568114478425602E-3</v>
      </c>
      <c r="E419" s="17"/>
    </row>
    <row r="420" spans="1:5" x14ac:dyDescent="0.2">
      <c r="A420" t="s">
        <v>102</v>
      </c>
      <c r="C420" s="17">
        <f>CORREL(C2:C416,E2:E416)</f>
        <v>-3.5596766709816057E-3</v>
      </c>
      <c r="D420" s="17"/>
      <c r="E420" s="17">
        <f>CORREL(C2:C416,E2:E416)</f>
        <v>-3.5596766709816057E-3</v>
      </c>
    </row>
    <row r="421" spans="1:5" x14ac:dyDescent="0.2">
      <c r="A421" t="s">
        <v>103</v>
      </c>
      <c r="C421" s="17"/>
      <c r="D421" s="17">
        <f>CORREL(D2:D416,E2:E416)</f>
        <v>-1.0420057092066297E-2</v>
      </c>
      <c r="E421" s="17">
        <f>CORREL(D2:D416,E2:E416)</f>
        <v>-1.0420057092066297E-2</v>
      </c>
    </row>
  </sheetData>
  <pageMargins left="0.75" right="0.75" top="1" bottom="1" header="0.5" footer="0.5"/>
  <pageSetup paperSize="9"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6C6CD-8104-C643-BF5B-21D54D6CC080}">
  <dimension ref="A1:E2"/>
  <sheetViews>
    <sheetView workbookViewId="0">
      <selection activeCell="A3" sqref="A3"/>
    </sheetView>
  </sheetViews>
  <sheetFormatPr baseColWidth="10" defaultRowHeight="15" x14ac:dyDescent="0.2"/>
  <cols>
    <col min="1" max="1" width="15.1640625" bestFit="1" customWidth="1"/>
  </cols>
  <sheetData>
    <row r="1" spans="1:5" x14ac:dyDescent="0.2">
      <c r="A1" t="s">
        <v>104</v>
      </c>
      <c r="B1" t="s">
        <v>105</v>
      </c>
      <c r="C1" t="s">
        <v>106</v>
      </c>
      <c r="D1" t="s">
        <v>107</v>
      </c>
      <c r="E1" t="s">
        <v>108</v>
      </c>
    </row>
    <row r="2" spans="1:5" x14ac:dyDescent="0.2">
      <c r="A2" s="18" t="s">
        <v>109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Cover</vt:lpstr>
      <vt:lpstr>readme</vt:lpstr>
      <vt:lpstr>summary of asset prices</vt:lpstr>
      <vt:lpstr>surprises</vt:lpstr>
      <vt:lpstr>factors</vt:lpstr>
      <vt:lpstr>Literature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Robert Noel</cp:lastModifiedBy>
  <dcterms:created xsi:type="dcterms:W3CDTF">2024-06-28T18:26:21Z</dcterms:created>
  <dcterms:modified xsi:type="dcterms:W3CDTF">2026-03-15T10:38:04Z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2127430130</vt:i4>
  </property>
  <property fmtid="{D5CDD505-2E9C-101B-9397-08002B2CF9AE}" pid="3" name="_NewReviewCycle">
    <vt:lpwstr/>
  </property>
  <property fmtid="{D5CDD505-2E9C-101B-9397-08002B2CF9AE}" pid="4" name="_EmailSubject">
    <vt:lpwstr>Updating the UK Monetary Policy Database external website</vt:lpwstr>
  </property>
  <property fmtid="{D5CDD505-2E9C-101B-9397-08002B2CF9AE}" pid="5" name="_AuthorEmail">
    <vt:lpwstr>Eeshaan.Verma@bankofengland.co.uk</vt:lpwstr>
  </property>
  <property fmtid="{D5CDD505-2E9C-101B-9397-08002B2CF9AE}" pid="6" name="_AuthorEmailDisplayName">
    <vt:lpwstr>Verma, Eeshaan</vt:lpwstr>
  </property>
</Properties>
</file>